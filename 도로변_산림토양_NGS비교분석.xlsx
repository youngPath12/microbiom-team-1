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you\OneDrive\바탕 화면\마이크로바이옴 1조\"/>
    </mc:Choice>
  </mc:AlternateContent>
  <xr:revisionPtr revIDLastSave="0" documentId="13_ncr:1_{B33B9F7E-A82D-432D-9265-8BB893CF8B54}" xr6:coauthVersionLast="47" xr6:coauthVersionMax="47" xr10:uidLastSave="{00000000-0000-0000-0000-000000000000}"/>
  <bookViews>
    <workbookView xWindow="1080" yWindow="1992" windowWidth="17280" windowHeight="8880" xr2:uid="{00000000-000D-0000-FFFF-FFFF00000000}"/>
  </bookViews>
  <sheets>
    <sheet name="요약" sheetId="1" r:id="rId1"/>
    <sheet name="문_비교" sheetId="2" r:id="rId2"/>
    <sheet name="강_비교" sheetId="3" r:id="rId3"/>
    <sheet name="목_비교" sheetId="4" r:id="rId4"/>
    <sheet name="과_비교" sheetId="5" r:id="rId5"/>
    <sheet name="다양성" sheetId="6" r:id="rId6"/>
    <sheet name="PCoA" sheetId="7" r:id="rId7"/>
    <sheet name="분석_안내" sheetId="8" r:id="rId8"/>
    <sheet name="도로변_문" sheetId="9" r:id="rId9"/>
    <sheet name="산림_문" sheetId="10" r:id="rId10"/>
    <sheet name="도로변_강" sheetId="11" r:id="rId11"/>
    <sheet name="산림_강" sheetId="12" r:id="rId12"/>
    <sheet name="도로변_목" sheetId="13" r:id="rId13"/>
    <sheet name="산림_목" sheetId="14" r:id="rId14"/>
    <sheet name="도로변_과" sheetId="15" r:id="rId15"/>
    <sheet name="산림_과" sheetId="16" r:id="rId16"/>
  </sheets>
  <definedNames>
    <definedName name="_xlnm._FilterDatabase" localSheetId="2" hidden="1">강_비교!$A$3:$J$25</definedName>
    <definedName name="_xlnm._FilterDatabase" localSheetId="4" hidden="1">과_비교!$A$3:$J$62</definedName>
    <definedName name="_xlnm._FilterDatabase" localSheetId="5" hidden="1">다양성!$A$3:$G$35</definedName>
    <definedName name="_xlnm._FilterDatabase" localSheetId="10" hidden="1">도로변_강!$A$3:$R$25</definedName>
    <definedName name="_xlnm._FilterDatabase" localSheetId="14" hidden="1">도로변_과!$A$3:$R$62</definedName>
    <definedName name="_xlnm._FilterDatabase" localSheetId="12" hidden="1">도로변_목!$A$3:$R$47</definedName>
    <definedName name="_xlnm._FilterDatabase" localSheetId="8" hidden="1">도로변_문!$A$3:$R$15</definedName>
    <definedName name="_xlnm._FilterDatabase" localSheetId="3" hidden="1">목_비교!$A$3:$J$47</definedName>
    <definedName name="_xlnm._FilterDatabase" localSheetId="1" hidden="1">문_비교!$A$3:$J$15</definedName>
    <definedName name="_xlnm._FilterDatabase" localSheetId="11" hidden="1">산림_강!$A$3:$R$25</definedName>
    <definedName name="_xlnm._FilterDatabase" localSheetId="15" hidden="1">산림_과!$A$3:$R$62</definedName>
    <definedName name="_xlnm._FilterDatabase" localSheetId="13" hidden="1">산림_목!$A$3:$R$47</definedName>
    <definedName name="_xlnm._FilterDatabase" localSheetId="9" hidden="1">산림_문!$A$3:$R$15</definedName>
  </definedNames>
  <calcPr calcId="191029" forceFullCalc="1"/>
</workbook>
</file>

<file path=xl/calcChain.xml><?xml version="1.0" encoding="utf-8"?>
<calcChain xmlns="http://schemas.openxmlformats.org/spreadsheetml/2006/main">
  <c r="R62" i="16" l="1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R5" i="12"/>
  <c r="R4" i="12"/>
  <c r="R25" i="11"/>
  <c r="R24" i="11"/>
  <c r="R23" i="11"/>
  <c r="R22" i="11"/>
  <c r="R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8" i="11"/>
  <c r="R7" i="11"/>
  <c r="R6" i="11"/>
  <c r="R5" i="11"/>
  <c r="R4" i="11"/>
  <c r="R15" i="10"/>
  <c r="R14" i="10"/>
  <c r="R13" i="10"/>
  <c r="R12" i="10"/>
  <c r="R11" i="10"/>
  <c r="R10" i="10"/>
  <c r="R9" i="10"/>
  <c r="R8" i="10"/>
  <c r="R7" i="10"/>
  <c r="R6" i="10"/>
  <c r="R5" i="10"/>
  <c r="R4" i="10"/>
  <c r="R15" i="9"/>
  <c r="R14" i="9"/>
  <c r="R13" i="9"/>
  <c r="R12" i="9"/>
  <c r="R11" i="9"/>
  <c r="R10" i="9"/>
  <c r="R9" i="9"/>
  <c r="R8" i="9"/>
  <c r="R7" i="9"/>
  <c r="R6" i="9"/>
  <c r="R5" i="9"/>
  <c r="R4" i="9"/>
</calcChain>
</file>

<file path=xl/sharedStrings.xml><?xml version="1.0" encoding="utf-8"?>
<sst xmlns="http://schemas.openxmlformats.org/spreadsheetml/2006/main" count="787" uniqueCount="234">
  <si>
    <t>도로변 토양 vs 산림 토양 | NGS 분류학 비교</t>
  </si>
  <si>
    <t>도로변: 시료 1~16 (n=16) / 산림: 시료 17~32 (n=16). 원자료의 상대풍부도를 사용한 탐색적 분석입니다.</t>
  </si>
  <si>
    <t>핵심 해석: 두 환경은 일부 조성 차이 후보를 보이지만, 현 파일의 Family 수준 상대풍부도만으로는 그룹 차이를 확정하거나 도로 노출의 인과효과를 주장할 수 없습니다.</t>
  </si>
  <si>
    <t>핵심 지표  |  도로변 16 / 산림 16  |  Family 수준 PERMANOVA p=0.113  |  Gemmatimonadota 차이 후보</t>
  </si>
  <si>
    <t>문(Phylum) 수준 그룹 비교</t>
  </si>
  <si>
    <t>Taxon</t>
  </si>
  <si>
    <t>도로변 평균</t>
  </si>
  <si>
    <t>산림 평균</t>
  </si>
  <si>
    <t>산림-도로변</t>
  </si>
  <si>
    <t>Unadjusted p</t>
  </si>
  <si>
    <t>BH-FDR q</t>
  </si>
  <si>
    <t>판정</t>
  </si>
  <si>
    <t>Actinobacteriota</t>
  </si>
  <si>
    <t>뚜렷한 차이 근거 부족</t>
  </si>
  <si>
    <t>Proteobacteria</t>
  </si>
  <si>
    <t>Firmicutes</t>
  </si>
  <si>
    <t>Gemmatimonadota</t>
  </si>
  <si>
    <t>탐색적 후보</t>
  </si>
  <si>
    <t>Myxococcota</t>
  </si>
  <si>
    <t>Acidobacteriota</t>
  </si>
  <si>
    <t>Verrucomicrobiota</t>
  </si>
  <si>
    <t>Bdellovibrionota</t>
  </si>
  <si>
    <t>Bacteroidota</t>
  </si>
  <si>
    <t>Not_Assigned</t>
  </si>
  <si>
    <t>Nitrospirota</t>
  </si>
  <si>
    <t>Planctomycetota</t>
  </si>
  <si>
    <t>주의: Family 수준에서 산림 30번은 Bacillaceae 79.60%, Mitochondria 20.03%로 매우 특이합니다. 제거 전/후 민감도 분석 및 원시 read/음성대조군 확인이 필요합니다.</t>
  </si>
  <si>
    <t>문 수준 | 도로변-산림 비교</t>
  </si>
  <si>
    <t>Mann-Whitney U 검정의 p값과 Benjamini-Hochberg FDR(q)을 함께 제시합니다. 현 상대풍부도 표 기반의 탐색적 결과입니다.</t>
  </si>
  <si>
    <t>도로변 중앙값</t>
  </si>
  <si>
    <t>산림 중앙값</t>
  </si>
  <si>
    <t>도로변 검출률</t>
  </si>
  <si>
    <t>산림 검출률</t>
  </si>
  <si>
    <t>강 수준 | 도로변-산림 비교</t>
  </si>
  <si>
    <t>Alphaproteobacteria</t>
  </si>
  <si>
    <t>Thermoleophilia</t>
  </si>
  <si>
    <t>Bacilli</t>
  </si>
  <si>
    <t>Gemmatimonadetes</t>
  </si>
  <si>
    <t>Actinobacteria</t>
  </si>
  <si>
    <t>Acidimicrobiia</t>
  </si>
  <si>
    <t>Gammaproteobacteria</t>
  </si>
  <si>
    <t>Polyangia</t>
  </si>
  <si>
    <t>Myxococcia</t>
  </si>
  <si>
    <t>Verrucomicrobiae</t>
  </si>
  <si>
    <t>Thermoanaerobaculia</t>
  </si>
  <si>
    <t>Blastocatellia</t>
  </si>
  <si>
    <t>Oligoflexia</t>
  </si>
  <si>
    <t>Bacteroidia</t>
  </si>
  <si>
    <t>Planctomycetes</t>
  </si>
  <si>
    <t>Phycisphaerae</t>
  </si>
  <si>
    <t>Nitrospiria</t>
  </si>
  <si>
    <t>Holophagae</t>
  </si>
  <si>
    <t>Vicinamibacteria</t>
  </si>
  <si>
    <t>Acidobacteriae</t>
  </si>
  <si>
    <t>MB_A2_108</t>
  </si>
  <si>
    <t>목 수준 | 도로변-산림 비교</t>
  </si>
  <si>
    <t>Rhizobiales</t>
  </si>
  <si>
    <t>Bacillales</t>
  </si>
  <si>
    <t>Gemmatimonadales</t>
  </si>
  <si>
    <t>Solirubrobacterales</t>
  </si>
  <si>
    <t>Sphingomonadales</t>
  </si>
  <si>
    <t>Micrococcales</t>
  </si>
  <si>
    <t>Propionibacteriales</t>
  </si>
  <si>
    <t>Rickettsiales</t>
  </si>
  <si>
    <t>Microtrichales</t>
  </si>
  <si>
    <t>Gaiellales</t>
  </si>
  <si>
    <t>Corynebacteriales</t>
  </si>
  <si>
    <t>Gammaproteobacteria_Incertae_Sedis</t>
  </si>
  <si>
    <t>Micromonosporales</t>
  </si>
  <si>
    <t>Frankiales</t>
  </si>
  <si>
    <t>Streptomycetales</t>
  </si>
  <si>
    <t>Kineosporiales</t>
  </si>
  <si>
    <t>Haliangiales</t>
  </si>
  <si>
    <t>Acetobacterales</t>
  </si>
  <si>
    <t>Myxococcales</t>
  </si>
  <si>
    <t>Chthoniobacterales</t>
  </si>
  <si>
    <t>Burkholderiales</t>
  </si>
  <si>
    <t>Xanthomonadales</t>
  </si>
  <si>
    <t>Thermoanaerobaculales</t>
  </si>
  <si>
    <t>Pyrinomonadales</t>
  </si>
  <si>
    <t>0319_6G20</t>
  </si>
  <si>
    <t>Reyranellales</t>
  </si>
  <si>
    <t>Steroidobacterales</t>
  </si>
  <si>
    <t>Chitinophagales</t>
  </si>
  <si>
    <t>Rhodobacterales</t>
  </si>
  <si>
    <t>Pseudonocardiales</t>
  </si>
  <si>
    <t>Gemmatales</t>
  </si>
  <si>
    <t>Tepidisphaerales</t>
  </si>
  <si>
    <t>IMCC26256</t>
  </si>
  <si>
    <t>Nitrospirales</t>
  </si>
  <si>
    <t>Subgroup_7</t>
  </si>
  <si>
    <t>Vicinamibacterales</t>
  </si>
  <si>
    <t>Bryobacterales</t>
  </si>
  <si>
    <t>Dongiales</t>
  </si>
  <si>
    <t>Caulobacterales</t>
  </si>
  <si>
    <t>Azospirillales</t>
  </si>
  <si>
    <t>Polyangiales</t>
  </si>
  <si>
    <t>Elsterales</t>
  </si>
  <si>
    <t>과 수준 | 도로변-산림 비교</t>
  </si>
  <si>
    <t>Bacillaceae</t>
  </si>
  <si>
    <t>Gemmatimonadaceae</t>
  </si>
  <si>
    <t>Xanthobacteraceae</t>
  </si>
  <si>
    <t>Sphingomonadaceae</t>
  </si>
  <si>
    <t>67_14</t>
  </si>
  <si>
    <t>Gaiellaceae</t>
  </si>
  <si>
    <t>Mitochondria</t>
  </si>
  <si>
    <t>Micrococcaceae</t>
  </si>
  <si>
    <t>Solirubrobacteraceae</t>
  </si>
  <si>
    <t>Beijerinckiaceae</t>
  </si>
  <si>
    <t>Nocardioidaceae</t>
  </si>
  <si>
    <t>Ilumatobacteraceae</t>
  </si>
  <si>
    <t>Mycobacteriaceae</t>
  </si>
  <si>
    <t>Unknown_Family</t>
  </si>
  <si>
    <t>Micromonosporaceae</t>
  </si>
  <si>
    <t>Acidothermaceae</t>
  </si>
  <si>
    <t>Nitrosomonadaceae</t>
  </si>
  <si>
    <t>Propionibacteriaceae</t>
  </si>
  <si>
    <t>Burkholderiaceae</t>
  </si>
  <si>
    <t>Streptomycetaceae</t>
  </si>
  <si>
    <t>uncultured</t>
  </si>
  <si>
    <t>Kineosporiaceae</t>
  </si>
  <si>
    <t>Haliangiaceae</t>
  </si>
  <si>
    <t>Acetobacteraceae</t>
  </si>
  <si>
    <t>Myxococcaceae</t>
  </si>
  <si>
    <t>Rhizobiaceae</t>
  </si>
  <si>
    <t>Chthoniobacteraceae</t>
  </si>
  <si>
    <t>Xanthomonadaceae</t>
  </si>
  <si>
    <t>Iamiaceae</t>
  </si>
  <si>
    <t>Thermoanaerobaculaceae</t>
  </si>
  <si>
    <t>Pyrinomonadaceae</t>
  </si>
  <si>
    <t>Cellulomonadaceae</t>
  </si>
  <si>
    <t>Devosiaceae</t>
  </si>
  <si>
    <t>Intrasporangiaceae</t>
  </si>
  <si>
    <t>Reyranellaceae</t>
  </si>
  <si>
    <t>Comamonadaceae</t>
  </si>
  <si>
    <t>Steroidobacteraceae</t>
  </si>
  <si>
    <t>Nakamurellaceae</t>
  </si>
  <si>
    <t>Chitinophagaceae</t>
  </si>
  <si>
    <t>SC_I_84</t>
  </si>
  <si>
    <t>Rhodobacteraceae</t>
  </si>
  <si>
    <t>Pseudonocardiaceae</t>
  </si>
  <si>
    <t>Methyloligellaceae</t>
  </si>
  <si>
    <t>Gemmataceae</t>
  </si>
  <si>
    <t>WD2101_soil_group</t>
  </si>
  <si>
    <t>Microbacteriaceae</t>
  </si>
  <si>
    <t>Nitrospiraceae</t>
  </si>
  <si>
    <t>Oxalobacteraceae</t>
  </si>
  <si>
    <t>Bryobacteraceae</t>
  </si>
  <si>
    <t>Dongiaceae</t>
  </si>
  <si>
    <t>Caulobacteraceae</t>
  </si>
  <si>
    <t>Azospirillaceae</t>
  </si>
  <si>
    <t>Sandaracinaceae</t>
  </si>
  <si>
    <t>Geodermatophilaceae</t>
  </si>
  <si>
    <t>Family 수준 알파다양성</t>
  </si>
  <si>
    <t>Shannon H와 exp(H)를 상대풍부도 표에서 계산했습니다. 실제 종수나 절대균량이 아닙니다.</t>
  </si>
  <si>
    <t>Sample ID</t>
  </si>
  <si>
    <t>Region</t>
  </si>
  <si>
    <t>Detected family categories</t>
  </si>
  <si>
    <t>Shannon H</t>
  </si>
  <si>
    <t>Effective family number</t>
  </si>
  <si>
    <t>Top family</t>
  </si>
  <si>
    <t>Top family relative abundance</t>
  </si>
  <si>
    <t>도로변</t>
  </si>
  <si>
    <t>산림</t>
  </si>
  <si>
    <t>Bray-Curtis PCoA 좌표</t>
  </si>
  <si>
    <t>PERMANOVA pseudo-F=1.492, permutation p=0.1126 (9,999 permutations). PC1=24.9%, PC2=19.6%.</t>
  </si>
  <si>
    <t>PC1</t>
  </si>
  <si>
    <t>PC2</t>
  </si>
  <si>
    <t>분석 안내 및 해석 한계</t>
  </si>
  <si>
    <t>원본 파일은 수정하지 않았으며, 아래 시트는 원본 상대풍부도를 지역별로 재배열한 결과입니다.</t>
  </si>
  <si>
    <t>항목</t>
  </si>
  <si>
    <t>내용</t>
  </si>
  <si>
    <t>자료</t>
  </si>
  <si>
    <t>taxonomic(1조).xlsx의 phylum/Class/Order/Family 상대풍부도 표</t>
  </si>
  <si>
    <t>그룹 정의</t>
  </si>
  <si>
    <t>도로변=시료 1~16, 산림=시료 17~32 (사용자 제공 정보)</t>
  </si>
  <si>
    <t>그룹 비교</t>
  </si>
  <si>
    <t>각 분류군의 평균/중앙값, Mann-Whitney U 검정, Benjamini-Hochberg FDR 보정</t>
  </si>
  <si>
    <t>군집 비교</t>
  </si>
  <si>
    <t>Family 수준 Bray-Curtis 거리, PCoA, PERMANOVA 9,999 permutations</t>
  </si>
  <si>
    <t>다양성</t>
  </si>
  <si>
    <t>Family 수준 Shannon H, effective family number=exp(H), 0 초과 분류군 수</t>
  </si>
  <si>
    <t>중요 한계</t>
  </si>
  <si>
    <t>상대풍부도만 제공되어 절대균량/시퀀싱 깊이/ASV·OTU/유전자 기능/종 또는 균주 수준은 알 수 없음</t>
  </si>
  <si>
    <t>검정 해석</t>
  </si>
  <si>
    <t>p&lt;0.05는 탐색적 후보이며, Family 수준의 다중비교에서는 FDR q&lt;0.05를 우선 기준으로 사용</t>
  </si>
  <si>
    <t>품질점검</t>
  </si>
  <si>
    <t>Mitochondria/Chloroplast 제거 여부, 음성대조군, read depth, 30번 시료의 시료혼입·주석 오류를 원자료에서 확인</t>
  </si>
  <si>
    <t>도로변 토양 | 문 수준 상대풍부도</t>
  </si>
  <si>
    <t>값은 각 시료 내 상대풍부도(0~1)이며, 마지막 열은 그룹 평균입니다.</t>
  </si>
  <si>
    <t>문 분류군</t>
  </si>
  <si>
    <t>시료 1</t>
  </si>
  <si>
    <t>시료 2</t>
  </si>
  <si>
    <t>시료 3</t>
  </si>
  <si>
    <t>시료 4</t>
  </si>
  <si>
    <t>시료 5</t>
  </si>
  <si>
    <t>시료 6</t>
  </si>
  <si>
    <t>시료 7</t>
  </si>
  <si>
    <t>시료 8</t>
  </si>
  <si>
    <t>시료 9</t>
  </si>
  <si>
    <t>시료 10</t>
  </si>
  <si>
    <t>시료 11</t>
  </si>
  <si>
    <t>시료 12</t>
  </si>
  <si>
    <t>시료 13</t>
  </si>
  <si>
    <t>시료 14</t>
  </si>
  <si>
    <t>시료 15</t>
  </si>
  <si>
    <t>시료 16</t>
  </si>
  <si>
    <t>그룹 평균</t>
  </si>
  <si>
    <t>산림 토양 | 문 수준 상대풍부도</t>
  </si>
  <si>
    <t>시료 17</t>
  </si>
  <si>
    <t>시료 18</t>
  </si>
  <si>
    <t>시료 19</t>
  </si>
  <si>
    <t>시료 20</t>
  </si>
  <si>
    <t>시료 21</t>
  </si>
  <si>
    <t>시료 22</t>
  </si>
  <si>
    <t>시료 23</t>
  </si>
  <si>
    <t>시료 24</t>
  </si>
  <si>
    <t>시료 25</t>
  </si>
  <si>
    <t>시료 26</t>
  </si>
  <si>
    <t>시료 27</t>
  </si>
  <si>
    <t>시료 28</t>
  </si>
  <si>
    <t>시료 29</t>
  </si>
  <si>
    <t>시료 30</t>
  </si>
  <si>
    <t>시료 31</t>
  </si>
  <si>
    <t>시료 32</t>
  </si>
  <si>
    <t>도로변 토양 | 강 수준 상대풍부도</t>
  </si>
  <si>
    <t>강 분류군</t>
  </si>
  <si>
    <t>산림 토양 | 강 수준 상대풍부도</t>
  </si>
  <si>
    <t>도로변 토양 | 목 수준 상대풍부도</t>
  </si>
  <si>
    <t>목 분류군</t>
  </si>
  <si>
    <t>산림 토양 | 목 수준 상대풍부도</t>
  </si>
  <si>
    <t>도로변 토양 | 과 수준 상대풍부도</t>
  </si>
  <si>
    <t>과 분류군</t>
  </si>
  <si>
    <t>산림 토양 | 과 수준 상대풍부도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</si>
</sst>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0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i/>
      <sz val="10"/>
      <color rgb="FF475467"/>
      <name val="맑은 고딕"/>
      <family val="3"/>
      <charset val="129"/>
    </font>
    <font>
      <b/>
      <sz val="11"/>
      <color rgb="FF33415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17365D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0"/>
      <color rgb="FFB4231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rgb="FFE8EEF5"/>
      </patternFill>
    </fill>
    <fill>
      <patternFill patternType="solid">
        <fgColor rgb="FFFBFCFE"/>
      </patternFill>
    </fill>
    <fill>
      <patternFill patternType="solid">
        <fgColor rgb="FFFEF3F2"/>
      </patternFill>
    </fill>
    <fill>
      <patternFill patternType="solid">
        <fgColor rgb="FFFDECC8"/>
      </patternFill>
    </fill>
    <fill>
      <patternFill patternType="solid">
        <fgColor rgb="FFDCEFE6"/>
      </patternFill>
    </fill>
    <fill>
      <patternFill patternType="solid">
        <fgColor rgb="FFD97706"/>
      </patternFill>
    </fill>
    <fill>
      <patternFill patternType="solid">
        <fgColor rgb="FF1E6F5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rgb="FFD97706"/>
      </bottom>
      <diagonal/>
    </border>
    <border>
      <left/>
      <right/>
      <top/>
      <bottom style="medium">
        <color rgb="FF1E6F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10" fontId="7" fillId="5" borderId="2" xfId="0" applyNumberFormat="1" applyFont="1" applyFill="1" applyBorder="1" applyAlignment="1">
      <alignment horizontal="right" vertical="center"/>
    </xf>
    <xf numFmtId="176" fontId="7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0" fontId="7" fillId="0" borderId="2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7" borderId="2" xfId="0" applyFont="1" applyFill="1" applyBorder="1" applyAlignment="1">
      <alignment horizontal="right" vertical="center"/>
    </xf>
    <xf numFmtId="2" fontId="7" fillId="5" borderId="2" xfId="0" applyNumberFormat="1" applyFont="1" applyFill="1" applyBorder="1" applyAlignment="1">
      <alignment horizontal="right" vertical="center"/>
    </xf>
    <xf numFmtId="2" fontId="7" fillId="0" borderId="2" xfId="0" applyNumberFormat="1" applyFont="1" applyBorder="1" applyAlignment="1">
      <alignment horizontal="right" vertical="center"/>
    </xf>
    <xf numFmtId="0" fontId="7" fillId="8" borderId="2" xfId="0" applyFont="1" applyFill="1" applyBorder="1" applyAlignment="1">
      <alignment horizontal="right" vertical="center"/>
    </xf>
    <xf numFmtId="177" fontId="7" fillId="5" borderId="2" xfId="0" applyNumberFormat="1" applyFont="1" applyFill="1" applyBorder="1" applyAlignment="1">
      <alignment horizontal="right" vertical="center"/>
    </xf>
    <xf numFmtId="177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6" fillId="9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6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5048250" cy="2838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15078075" cy="9010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showGridLines="0" tabSelected="1" workbookViewId="0">
      <selection sqref="A1:G1"/>
    </sheetView>
  </sheetViews>
  <sheetFormatPr defaultRowHeight="17.399999999999999" x14ac:dyDescent="0.4"/>
  <cols>
    <col min="1" max="1" width="24" customWidth="1"/>
    <col min="2" max="4" width="14" customWidth="1"/>
    <col min="5" max="6" width="13" customWidth="1"/>
    <col min="7" max="7" width="23" customWidth="1"/>
  </cols>
  <sheetData>
    <row r="1" spans="1:7" ht="28.05" customHeight="1" x14ac:dyDescent="0.4">
      <c r="A1" s="23" t="s">
        <v>0</v>
      </c>
      <c r="B1" s="22"/>
      <c r="C1" s="22"/>
      <c r="D1" s="22"/>
      <c r="E1" s="22"/>
      <c r="F1" s="22"/>
      <c r="G1" s="22"/>
    </row>
    <row r="2" spans="1:7" ht="34.049999999999997" customHeight="1" x14ac:dyDescent="0.4">
      <c r="A2" s="26" t="s">
        <v>1</v>
      </c>
      <c r="B2" s="22"/>
      <c r="C2" s="22"/>
      <c r="D2" s="22"/>
      <c r="E2" s="22"/>
      <c r="F2" s="22"/>
      <c r="G2" s="22"/>
    </row>
    <row r="4" spans="1:7" ht="34.049999999999997" customHeight="1" x14ac:dyDescent="0.4">
      <c r="A4" s="25" t="s">
        <v>2</v>
      </c>
      <c r="B4" s="22"/>
      <c r="C4" s="22"/>
      <c r="D4" s="22"/>
      <c r="E4" s="22"/>
      <c r="F4" s="22"/>
      <c r="G4" s="22"/>
    </row>
    <row r="6" spans="1:7" ht="22.05" customHeight="1" x14ac:dyDescent="0.4">
      <c r="A6" s="21" t="s">
        <v>3</v>
      </c>
      <c r="B6" s="22"/>
      <c r="C6" s="22"/>
      <c r="D6" s="22"/>
      <c r="E6" s="22"/>
      <c r="F6" s="22"/>
      <c r="G6" s="22"/>
    </row>
    <row r="7" spans="1:7" ht="22.05" customHeight="1" x14ac:dyDescent="0.4">
      <c r="A7" s="22"/>
      <c r="B7" s="22"/>
      <c r="C7" s="22"/>
      <c r="D7" s="22"/>
      <c r="E7" s="22"/>
      <c r="F7" s="22"/>
      <c r="G7" s="22"/>
    </row>
    <row r="8" spans="1:7" ht="22.05" customHeight="1" x14ac:dyDescent="0.4">
      <c r="A8" s="22"/>
      <c r="B8" s="22"/>
      <c r="C8" s="22"/>
      <c r="D8" s="22"/>
      <c r="E8" s="22"/>
      <c r="F8" s="22"/>
      <c r="G8" s="22"/>
    </row>
    <row r="10" spans="1:7" ht="19.2" x14ac:dyDescent="0.45">
      <c r="A10" s="1" t="s">
        <v>4</v>
      </c>
    </row>
    <row r="11" spans="1:7" ht="31.95" customHeight="1" x14ac:dyDescent="0.4">
      <c r="A11" s="2" t="s">
        <v>5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</row>
    <row r="12" spans="1:7" x14ac:dyDescent="0.4">
      <c r="A12" s="3" t="s">
        <v>12</v>
      </c>
      <c r="B12" s="4">
        <v>0.5655207687499999</v>
      </c>
      <c r="C12" s="4">
        <v>0.48827460625000002</v>
      </c>
      <c r="D12" s="4">
        <v>-7.7246162499999882E-2</v>
      </c>
      <c r="E12" s="5">
        <v>7.9681910213956111E-2</v>
      </c>
      <c r="F12" s="5">
        <v>0.26200443152887593</v>
      </c>
      <c r="G12" s="6" t="s">
        <v>13</v>
      </c>
    </row>
    <row r="13" spans="1:7" x14ac:dyDescent="0.4">
      <c r="A13" s="7" t="s">
        <v>14</v>
      </c>
      <c r="B13" s="8">
        <v>0.28885566875000002</v>
      </c>
      <c r="C13" s="8">
        <v>0.35059701874999999</v>
      </c>
      <c r="D13" s="8">
        <v>6.1741349999999973E-2</v>
      </c>
      <c r="E13" s="9">
        <v>0.15755741578658811</v>
      </c>
      <c r="F13" s="9">
        <v>0.37813779788781138</v>
      </c>
      <c r="G13" s="10" t="s">
        <v>13</v>
      </c>
    </row>
    <row r="14" spans="1:7" x14ac:dyDescent="0.4">
      <c r="A14" s="3" t="s">
        <v>15</v>
      </c>
      <c r="B14" s="4">
        <v>1.56535308125E-2</v>
      </c>
      <c r="C14" s="4">
        <v>6.1374488062500003E-2</v>
      </c>
      <c r="D14" s="4">
        <v>4.5720957249999999E-2</v>
      </c>
      <c r="E14" s="5">
        <v>1</v>
      </c>
      <c r="F14" s="5">
        <v>1</v>
      </c>
      <c r="G14" s="6" t="s">
        <v>13</v>
      </c>
    </row>
    <row r="15" spans="1:7" x14ac:dyDescent="0.4">
      <c r="A15" s="7" t="s">
        <v>16</v>
      </c>
      <c r="B15" s="8">
        <v>6.1412466187500001E-2</v>
      </c>
      <c r="C15" s="8">
        <v>2.3109784250000001E-2</v>
      </c>
      <c r="D15" s="8">
        <v>-3.8302681937499999E-2</v>
      </c>
      <c r="E15" s="9">
        <v>4.9877416490732686E-3</v>
      </c>
      <c r="F15" s="9">
        <v>5.9852899788879227E-2</v>
      </c>
      <c r="G15" s="10" t="s">
        <v>17</v>
      </c>
    </row>
    <row r="16" spans="1:7" x14ac:dyDescent="0.4">
      <c r="A16" s="3" t="s">
        <v>18</v>
      </c>
      <c r="B16" s="4">
        <v>1.0778570750000001E-2</v>
      </c>
      <c r="C16" s="4">
        <v>1.95449444375E-2</v>
      </c>
      <c r="D16" s="4">
        <v>8.7663736875000023E-3</v>
      </c>
      <c r="E16" s="5">
        <v>2.419060955728029E-2</v>
      </c>
      <c r="F16" s="5">
        <v>0.1451436573436817</v>
      </c>
      <c r="G16" s="6" t="s">
        <v>17</v>
      </c>
    </row>
    <row r="17" spans="1:7" x14ac:dyDescent="0.4">
      <c r="A17" s="7" t="s">
        <v>19</v>
      </c>
      <c r="B17" s="8">
        <v>2.8666989437499998E-2</v>
      </c>
      <c r="C17" s="8">
        <v>2.2855158E-2</v>
      </c>
      <c r="D17" s="8">
        <v>-5.8118314375000006E-3</v>
      </c>
      <c r="E17" s="9">
        <v>0.61085945261277153</v>
      </c>
      <c r="F17" s="9">
        <v>0.90580605042802143</v>
      </c>
      <c r="G17" s="10" t="s">
        <v>13</v>
      </c>
    </row>
    <row r="18" spans="1:7" x14ac:dyDescent="0.4">
      <c r="A18" s="3" t="s">
        <v>20</v>
      </c>
      <c r="B18" s="4">
        <v>4.5259143125000014E-3</v>
      </c>
      <c r="C18" s="4">
        <v>8.3979341249999992E-3</v>
      </c>
      <c r="D18" s="4">
        <v>3.8720198124999991E-3</v>
      </c>
      <c r="E18" s="5">
        <v>0.60944911258953438</v>
      </c>
      <c r="F18" s="5">
        <v>0.90580605042802143</v>
      </c>
      <c r="G18" s="6" t="s">
        <v>13</v>
      </c>
    </row>
    <row r="19" spans="1:7" x14ac:dyDescent="0.4">
      <c r="A19" s="7" t="s">
        <v>21</v>
      </c>
      <c r="B19" s="8">
        <v>2.9619266249999998E-3</v>
      </c>
      <c r="C19" s="8">
        <v>6.4679118749999998E-4</v>
      </c>
      <c r="D19" s="8">
        <v>-2.3151354375000001E-3</v>
      </c>
      <c r="E19" s="9">
        <v>8.7334810509625285E-2</v>
      </c>
      <c r="F19" s="9">
        <v>0.26200443152887593</v>
      </c>
      <c r="G19" s="10" t="s">
        <v>13</v>
      </c>
    </row>
    <row r="20" spans="1:7" x14ac:dyDescent="0.4">
      <c r="A20" s="3" t="s">
        <v>22</v>
      </c>
      <c r="B20" s="4">
        <v>9.10016225E-3</v>
      </c>
      <c r="C20" s="4">
        <v>1.07456835E-2</v>
      </c>
      <c r="D20" s="4">
        <v>1.6455212499999991E-3</v>
      </c>
      <c r="E20" s="5">
        <v>0.88625796526472378</v>
      </c>
      <c r="F20" s="5">
        <v>0.96682687119788047</v>
      </c>
      <c r="G20" s="6" t="s">
        <v>13</v>
      </c>
    </row>
    <row r="21" spans="1:7" x14ac:dyDescent="0.4">
      <c r="A21" s="7" t="s">
        <v>23</v>
      </c>
      <c r="B21" s="8">
        <v>4.7397398625E-3</v>
      </c>
      <c r="C21" s="8">
        <v>5.9200073437499987E-3</v>
      </c>
      <c r="D21" s="8">
        <v>1.1802674812499991E-3</v>
      </c>
      <c r="E21" s="9">
        <v>0.67935453782101607</v>
      </c>
      <c r="F21" s="9">
        <v>0.90580605042802143</v>
      </c>
      <c r="G21" s="10" t="s">
        <v>13</v>
      </c>
    </row>
    <row r="22" spans="1:7" x14ac:dyDescent="0.4">
      <c r="A22" s="3" t="s">
        <v>24</v>
      </c>
      <c r="B22" s="4">
        <v>1.2133474375E-3</v>
      </c>
      <c r="C22" s="4">
        <v>1.9731336249999998E-3</v>
      </c>
      <c r="D22" s="4">
        <v>7.5978618749999983E-4</v>
      </c>
      <c r="E22" s="5">
        <v>0.39621179102758192</v>
      </c>
      <c r="F22" s="5">
        <v>0.79242358205516383</v>
      </c>
      <c r="G22" s="6" t="s">
        <v>13</v>
      </c>
    </row>
    <row r="23" spans="1:7" x14ac:dyDescent="0.4">
      <c r="A23" s="7" t="s">
        <v>25</v>
      </c>
      <c r="B23" s="8">
        <v>6.5709263750000002E-3</v>
      </c>
      <c r="C23" s="8">
        <v>6.5604563124999999E-3</v>
      </c>
      <c r="D23" s="8">
        <v>-1.047006250000024E-5</v>
      </c>
      <c r="E23" s="9">
        <v>0.75822703576872441</v>
      </c>
      <c r="F23" s="9">
        <v>0.90987244292246916</v>
      </c>
      <c r="G23" s="10" t="s">
        <v>13</v>
      </c>
    </row>
    <row r="52" spans="1:7" x14ac:dyDescent="0.4">
      <c r="A52" s="24" t="s">
        <v>26</v>
      </c>
      <c r="B52" s="22"/>
      <c r="C52" s="22"/>
      <c r="D52" s="22"/>
      <c r="E52" s="22"/>
      <c r="F52" s="22"/>
      <c r="G52" s="22"/>
    </row>
    <row r="53" spans="1:7" x14ac:dyDescent="0.4">
      <c r="A53" s="22"/>
      <c r="B53" s="22"/>
      <c r="C53" s="22"/>
      <c r="D53" s="22"/>
      <c r="E53" s="22"/>
      <c r="F53" s="22"/>
      <c r="G53" s="22"/>
    </row>
  </sheetData>
  <mergeCells count="5">
    <mergeCell ref="A6:G8"/>
    <mergeCell ref="A1:G1"/>
    <mergeCell ref="A52:G53"/>
    <mergeCell ref="A4:G4"/>
    <mergeCell ref="A2:G2"/>
  </mergeCells>
  <phoneticPr fontId="9" type="noConversion"/>
  <conditionalFormatting sqref="D12:D23">
    <cfRule type="colorScale" priority="1">
      <colorScale>
        <cfvo type="min"/>
        <cfvo type="percentile" val="50"/>
        <cfvo type="max"/>
        <color rgb="FFFCA5A5"/>
        <color rgb="FFFFFFFF"/>
        <color rgb="FF86EFAC"/>
      </colorScale>
    </cfRule>
  </conditionalFormatting>
  <pageMargins left="0.75" right="0.75" top="1" bottom="1" header="0.5" footer="0.5"/>
  <rowBreaks count="1" manualBreakCount="1">
    <brk id="27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8" width="14" customWidth="1"/>
    <col min="9" max="10" width="13" customWidth="1"/>
  </cols>
  <sheetData>
    <row r="1" spans="1:10" ht="28.05" customHeight="1" x14ac:dyDescent="0.4">
      <c r="A1" s="23" t="s">
        <v>27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4.049999999999997" customHeight="1" x14ac:dyDescent="0.4">
      <c r="A2" s="26" t="s">
        <v>28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31.95" customHeight="1" x14ac:dyDescent="0.4">
      <c r="A3" s="2" t="s">
        <v>5</v>
      </c>
      <c r="B3" s="2" t="s">
        <v>6</v>
      </c>
      <c r="C3" s="2" t="s">
        <v>7</v>
      </c>
      <c r="D3" s="2" t="s">
        <v>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9</v>
      </c>
      <c r="J3" s="2" t="s">
        <v>10</v>
      </c>
    </row>
    <row r="4" spans="1:10" x14ac:dyDescent="0.4">
      <c r="A4" s="3" t="s">
        <v>12</v>
      </c>
      <c r="B4" s="4">
        <v>0.5655207687499999</v>
      </c>
      <c r="C4" s="4">
        <v>0.48827460625000002</v>
      </c>
      <c r="D4" s="4">
        <v>-7.7246162499999882E-2</v>
      </c>
      <c r="E4" s="4">
        <v>0.58739180000000002</v>
      </c>
      <c r="F4" s="4">
        <v>0.53837990000000002</v>
      </c>
      <c r="G4" s="4">
        <v>1</v>
      </c>
      <c r="H4" s="4">
        <v>0.9375</v>
      </c>
      <c r="I4" s="5">
        <v>7.9681910213956111E-2</v>
      </c>
      <c r="J4" s="5">
        <v>0.26200443152887593</v>
      </c>
    </row>
    <row r="5" spans="1:10" x14ac:dyDescent="0.4">
      <c r="A5" s="7" t="s">
        <v>14</v>
      </c>
      <c r="B5" s="8">
        <v>0.28885566875000002</v>
      </c>
      <c r="C5" s="8">
        <v>0.35059701874999999</v>
      </c>
      <c r="D5" s="8">
        <v>6.1741349999999973E-2</v>
      </c>
      <c r="E5" s="8">
        <v>0.30611444999999998</v>
      </c>
      <c r="F5" s="8">
        <v>0.30304845000000002</v>
      </c>
      <c r="G5" s="8">
        <v>1</v>
      </c>
      <c r="H5" s="8">
        <v>1</v>
      </c>
      <c r="I5" s="9">
        <v>0.15755741578658811</v>
      </c>
      <c r="J5" s="9">
        <v>0.37813779788781138</v>
      </c>
    </row>
    <row r="6" spans="1:10" x14ac:dyDescent="0.4">
      <c r="A6" s="3" t="s">
        <v>15</v>
      </c>
      <c r="B6" s="4">
        <v>1.56535308125E-2</v>
      </c>
      <c r="C6" s="4">
        <v>6.1374488062500003E-2</v>
      </c>
      <c r="D6" s="4">
        <v>4.5720957249999999E-2</v>
      </c>
      <c r="E6" s="4">
        <v>7.6538934999999999E-3</v>
      </c>
      <c r="F6" s="4">
        <v>1.0005779500000001E-2</v>
      </c>
      <c r="G6" s="4">
        <v>0.6875</v>
      </c>
      <c r="H6" s="4">
        <v>0.6875</v>
      </c>
      <c r="I6" s="5">
        <v>1</v>
      </c>
      <c r="J6" s="5">
        <v>1</v>
      </c>
    </row>
    <row r="7" spans="1:10" x14ac:dyDescent="0.4">
      <c r="A7" s="7" t="s">
        <v>16</v>
      </c>
      <c r="B7" s="8">
        <v>6.1412466187500001E-2</v>
      </c>
      <c r="C7" s="8">
        <v>2.3109784250000001E-2</v>
      </c>
      <c r="D7" s="8">
        <v>-3.8302681937499999E-2</v>
      </c>
      <c r="E7" s="8">
        <v>3.7557634999999999E-2</v>
      </c>
      <c r="F7" s="8">
        <v>1.5869896500000001E-2</v>
      </c>
      <c r="G7" s="8">
        <v>1</v>
      </c>
      <c r="H7" s="8">
        <v>0.9375</v>
      </c>
      <c r="I7" s="9">
        <v>4.9877416490732686E-3</v>
      </c>
      <c r="J7" s="9">
        <v>5.9852899788879227E-2</v>
      </c>
    </row>
    <row r="8" spans="1:10" x14ac:dyDescent="0.4">
      <c r="A8" s="3" t="s">
        <v>18</v>
      </c>
      <c r="B8" s="4">
        <v>1.0778570750000001E-2</v>
      </c>
      <c r="C8" s="4">
        <v>1.95449444375E-2</v>
      </c>
      <c r="D8" s="4">
        <v>8.7663736875000023E-3</v>
      </c>
      <c r="E8" s="4">
        <v>9.3177515000000006E-3</v>
      </c>
      <c r="F8" s="4">
        <v>2.2513809999999999E-2</v>
      </c>
      <c r="G8" s="4">
        <v>0.6875</v>
      </c>
      <c r="H8" s="4">
        <v>0.875</v>
      </c>
      <c r="I8" s="5">
        <v>2.419060955728029E-2</v>
      </c>
      <c r="J8" s="5">
        <v>0.1451436573436817</v>
      </c>
    </row>
    <row r="9" spans="1:10" x14ac:dyDescent="0.4">
      <c r="A9" s="7" t="s">
        <v>19</v>
      </c>
      <c r="B9" s="8">
        <v>2.8666989437499998E-2</v>
      </c>
      <c r="C9" s="8">
        <v>2.2855158E-2</v>
      </c>
      <c r="D9" s="8">
        <v>-5.8118314375000006E-3</v>
      </c>
      <c r="E9" s="8">
        <v>2.4290308E-2</v>
      </c>
      <c r="F9" s="8">
        <v>2.0205770500000001E-2</v>
      </c>
      <c r="G9" s="8">
        <v>1</v>
      </c>
      <c r="H9" s="8">
        <v>0.875</v>
      </c>
      <c r="I9" s="9">
        <v>0.61085945261277153</v>
      </c>
      <c r="J9" s="9">
        <v>0.90580605042802143</v>
      </c>
    </row>
    <row r="10" spans="1:10" x14ac:dyDescent="0.4">
      <c r="A10" s="3" t="s">
        <v>20</v>
      </c>
      <c r="B10" s="4">
        <v>4.5259143125000014E-3</v>
      </c>
      <c r="C10" s="4">
        <v>8.3979341249999992E-3</v>
      </c>
      <c r="D10" s="4">
        <v>3.8720198124999991E-3</v>
      </c>
      <c r="E10" s="4">
        <v>0</v>
      </c>
      <c r="F10" s="4">
        <v>1.9286405000000001E-3</v>
      </c>
      <c r="G10" s="4">
        <v>0.4375</v>
      </c>
      <c r="H10" s="4">
        <v>0.5</v>
      </c>
      <c r="I10" s="5">
        <v>0.60944911258953438</v>
      </c>
      <c r="J10" s="5">
        <v>0.90580605042802143</v>
      </c>
    </row>
    <row r="11" spans="1:10" x14ac:dyDescent="0.4">
      <c r="A11" s="7" t="s">
        <v>21</v>
      </c>
      <c r="B11" s="8">
        <v>2.9619266249999998E-3</v>
      </c>
      <c r="C11" s="8">
        <v>6.4679118749999998E-4</v>
      </c>
      <c r="D11" s="8">
        <v>-2.3151354375000001E-3</v>
      </c>
      <c r="E11" s="8">
        <v>0</v>
      </c>
      <c r="F11" s="8">
        <v>0</v>
      </c>
      <c r="G11" s="8">
        <v>0.375</v>
      </c>
      <c r="H11" s="8">
        <v>0.125</v>
      </c>
      <c r="I11" s="9">
        <v>8.7334810509625285E-2</v>
      </c>
      <c r="J11" s="9">
        <v>0.26200443152887593</v>
      </c>
    </row>
    <row r="12" spans="1:10" x14ac:dyDescent="0.4">
      <c r="A12" s="3" t="s">
        <v>22</v>
      </c>
      <c r="B12" s="4">
        <v>9.10016225E-3</v>
      </c>
      <c r="C12" s="4">
        <v>1.07456835E-2</v>
      </c>
      <c r="D12" s="4">
        <v>1.6455212499999991E-3</v>
      </c>
      <c r="E12" s="4">
        <v>4.220779E-3</v>
      </c>
      <c r="F12" s="4">
        <v>0</v>
      </c>
      <c r="G12" s="4">
        <v>0.5</v>
      </c>
      <c r="H12" s="4">
        <v>0.4375</v>
      </c>
      <c r="I12" s="5">
        <v>0.88625796526472378</v>
      </c>
      <c r="J12" s="5">
        <v>0.96682687119788047</v>
      </c>
    </row>
    <row r="13" spans="1:10" x14ac:dyDescent="0.4">
      <c r="A13" s="7" t="s">
        <v>23</v>
      </c>
      <c r="B13" s="8">
        <v>4.7397398625E-3</v>
      </c>
      <c r="C13" s="8">
        <v>5.9200073437499987E-3</v>
      </c>
      <c r="D13" s="8">
        <v>1.1802674812499991E-3</v>
      </c>
      <c r="E13" s="8">
        <v>1.1799064E-3</v>
      </c>
      <c r="F13" s="8">
        <v>1.07296135E-3</v>
      </c>
      <c r="G13" s="8">
        <v>0.625</v>
      </c>
      <c r="H13" s="8">
        <v>0.5</v>
      </c>
      <c r="I13" s="9">
        <v>0.67935453782101607</v>
      </c>
      <c r="J13" s="9">
        <v>0.90580605042802143</v>
      </c>
    </row>
    <row r="14" spans="1:10" x14ac:dyDescent="0.4">
      <c r="A14" s="3" t="s">
        <v>24</v>
      </c>
      <c r="B14" s="4">
        <v>1.2133474375E-3</v>
      </c>
      <c r="C14" s="4">
        <v>1.9731336249999998E-3</v>
      </c>
      <c r="D14" s="4">
        <v>7.5978618749999983E-4</v>
      </c>
      <c r="E14" s="4">
        <v>0</v>
      </c>
      <c r="F14" s="4">
        <v>0</v>
      </c>
      <c r="G14" s="4">
        <v>0.25</v>
      </c>
      <c r="H14" s="4">
        <v>0.375</v>
      </c>
      <c r="I14" s="5">
        <v>0.39621179102758192</v>
      </c>
      <c r="J14" s="5">
        <v>0.79242358205516383</v>
      </c>
    </row>
    <row r="15" spans="1:10" x14ac:dyDescent="0.4">
      <c r="A15" s="7" t="s">
        <v>25</v>
      </c>
      <c r="B15" s="8">
        <v>6.5709263750000002E-3</v>
      </c>
      <c r="C15" s="8">
        <v>6.5604563124999999E-3</v>
      </c>
      <c r="D15" s="8">
        <v>-1.047006250000024E-5</v>
      </c>
      <c r="E15" s="8">
        <v>5.7204255000000001E-3</v>
      </c>
      <c r="F15" s="8">
        <v>4.7994480000000004E-3</v>
      </c>
      <c r="G15" s="8">
        <v>0.6875</v>
      </c>
      <c r="H15" s="8">
        <v>0.625</v>
      </c>
      <c r="I15" s="9">
        <v>0.75822703576872441</v>
      </c>
      <c r="J15" s="9">
        <v>0.90987244292246916</v>
      </c>
    </row>
  </sheetData>
  <autoFilter ref="A3:J15" xr:uid="{00000000-0009-0000-0000-000001000000}"/>
  <mergeCells count="2">
    <mergeCell ref="A1:J1"/>
    <mergeCell ref="A2:J2"/>
  </mergeCells>
  <phoneticPr fontId="9" type="noConversion"/>
  <conditionalFormatting sqref="D4:D15">
    <cfRule type="colorScale" priority="1">
      <colorScale>
        <cfvo type="min"/>
        <cfvo type="percentile" val="50"/>
        <cfvo type="max"/>
        <color rgb="FFFCA5A5"/>
        <color rgb="FFFFFFFF"/>
        <color rgb="FF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8" width="14" customWidth="1"/>
    <col min="9" max="10" width="13" customWidth="1"/>
  </cols>
  <sheetData>
    <row r="1" spans="1:10" ht="28.05" customHeight="1" x14ac:dyDescent="0.4">
      <c r="A1" s="23" t="s">
        <v>33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4.049999999999997" customHeight="1" x14ac:dyDescent="0.4">
      <c r="A2" s="26" t="s">
        <v>28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31.95" customHeight="1" x14ac:dyDescent="0.4">
      <c r="A3" s="2" t="s">
        <v>5</v>
      </c>
      <c r="B3" s="2" t="s">
        <v>6</v>
      </c>
      <c r="C3" s="2" t="s">
        <v>7</v>
      </c>
      <c r="D3" s="2" t="s">
        <v>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9</v>
      </c>
      <c r="J3" s="2" t="s">
        <v>10</v>
      </c>
    </row>
    <row r="4" spans="1:10" x14ac:dyDescent="0.4">
      <c r="A4" s="3" t="s">
        <v>34</v>
      </c>
      <c r="B4" s="4">
        <v>0.19195971875000001</v>
      </c>
      <c r="C4" s="4">
        <v>0.24712094374999999</v>
      </c>
      <c r="D4" s="4">
        <v>5.516122499999998E-2</v>
      </c>
      <c r="E4" s="4">
        <v>0.19737574999999999</v>
      </c>
      <c r="F4" s="4">
        <v>0.21439759999999999</v>
      </c>
      <c r="G4" s="4">
        <v>1</v>
      </c>
      <c r="H4" s="4">
        <v>1</v>
      </c>
      <c r="I4" s="5">
        <v>7.9681910213956111E-2</v>
      </c>
      <c r="J4" s="5">
        <v>0.3552992193868833</v>
      </c>
    </row>
    <row r="5" spans="1:10" x14ac:dyDescent="0.4">
      <c r="A5" s="7" t="s">
        <v>35</v>
      </c>
      <c r="B5" s="8">
        <v>0.23175848499999999</v>
      </c>
      <c r="C5" s="8">
        <v>0.18423812624999999</v>
      </c>
      <c r="D5" s="8">
        <v>-4.7520358749999991E-2</v>
      </c>
      <c r="E5" s="8">
        <v>0.22536769000000001</v>
      </c>
      <c r="F5" s="8">
        <v>0.19028893499999999</v>
      </c>
      <c r="G5" s="8">
        <v>1</v>
      </c>
      <c r="H5" s="8">
        <v>0.9375</v>
      </c>
      <c r="I5" s="9">
        <v>0.16893140968069831</v>
      </c>
      <c r="J5" s="9">
        <v>0.46456137662192032</v>
      </c>
    </row>
    <row r="6" spans="1:10" x14ac:dyDescent="0.4">
      <c r="A6" s="3" t="s">
        <v>36</v>
      </c>
      <c r="B6" s="4">
        <v>1.56535308125E-2</v>
      </c>
      <c r="C6" s="4">
        <v>6.1374488062500003E-2</v>
      </c>
      <c r="D6" s="4">
        <v>4.5720957249999999E-2</v>
      </c>
      <c r="E6" s="4">
        <v>7.6538934999999999E-3</v>
      </c>
      <c r="F6" s="4">
        <v>1.0005779500000001E-2</v>
      </c>
      <c r="G6" s="4">
        <v>0.6875</v>
      </c>
      <c r="H6" s="4">
        <v>0.6875</v>
      </c>
      <c r="I6" s="5">
        <v>1</v>
      </c>
      <c r="J6" s="5">
        <v>1</v>
      </c>
    </row>
    <row r="7" spans="1:10" x14ac:dyDescent="0.4">
      <c r="A7" s="7" t="s">
        <v>37</v>
      </c>
      <c r="B7" s="8">
        <v>6.1412466187500001E-2</v>
      </c>
      <c r="C7" s="8">
        <v>2.3109784250000001E-2</v>
      </c>
      <c r="D7" s="8">
        <v>-3.8302681937499999E-2</v>
      </c>
      <c r="E7" s="8">
        <v>3.7557634999999999E-2</v>
      </c>
      <c r="F7" s="8">
        <v>1.5869896500000001E-2</v>
      </c>
      <c r="G7" s="8">
        <v>1</v>
      </c>
      <c r="H7" s="8">
        <v>0.9375</v>
      </c>
      <c r="I7" s="9">
        <v>4.9877416490732686E-3</v>
      </c>
      <c r="J7" s="9">
        <v>0.1097303162796119</v>
      </c>
    </row>
    <row r="8" spans="1:10" x14ac:dyDescent="0.4">
      <c r="A8" s="3" t="s">
        <v>38</v>
      </c>
      <c r="B8" s="4">
        <v>0.2906551275</v>
      </c>
      <c r="C8" s="4">
        <v>0.27353214625</v>
      </c>
      <c r="D8" s="4">
        <v>-1.7122981249999999E-2</v>
      </c>
      <c r="E8" s="4">
        <v>0.30937726500000001</v>
      </c>
      <c r="F8" s="4">
        <v>0.28407871000000001</v>
      </c>
      <c r="G8" s="4">
        <v>1</v>
      </c>
      <c r="H8" s="4">
        <v>0.9375</v>
      </c>
      <c r="I8" s="5">
        <v>0.77743220290197546</v>
      </c>
      <c r="J8" s="5">
        <v>0.98455997116825711</v>
      </c>
    </row>
    <row r="9" spans="1:10" x14ac:dyDescent="0.4">
      <c r="A9" s="7" t="s">
        <v>39</v>
      </c>
      <c r="B9" s="8">
        <v>3.49022910625E-2</v>
      </c>
      <c r="C9" s="8">
        <v>2.2116762812499999E-2</v>
      </c>
      <c r="D9" s="8">
        <v>-1.2785528250000001E-2</v>
      </c>
      <c r="E9" s="8">
        <v>3.5350596999999997E-2</v>
      </c>
      <c r="F9" s="8">
        <v>2.0363540499999999E-2</v>
      </c>
      <c r="G9" s="8">
        <v>1</v>
      </c>
      <c r="H9" s="8">
        <v>0.75</v>
      </c>
      <c r="I9" s="9">
        <v>5.6775264053417249E-2</v>
      </c>
      <c r="J9" s="9">
        <v>0.3552992193868833</v>
      </c>
    </row>
    <row r="10" spans="1:10" x14ac:dyDescent="0.4">
      <c r="A10" s="3" t="s">
        <v>40</v>
      </c>
      <c r="B10" s="4">
        <v>9.6895942499999999E-2</v>
      </c>
      <c r="C10" s="4">
        <v>0.10347606875</v>
      </c>
      <c r="D10" s="4">
        <v>6.5801262499999994E-3</v>
      </c>
      <c r="E10" s="4">
        <v>8.5289114999999999E-2</v>
      </c>
      <c r="F10" s="4">
        <v>0.102542465</v>
      </c>
      <c r="G10" s="4">
        <v>1</v>
      </c>
      <c r="H10" s="4">
        <v>0.9375</v>
      </c>
      <c r="I10" s="5">
        <v>0.89505451924387014</v>
      </c>
      <c r="J10" s="5">
        <v>0.98455997116825711</v>
      </c>
    </row>
    <row r="11" spans="1:10" x14ac:dyDescent="0.4">
      <c r="A11" s="7" t="s">
        <v>41</v>
      </c>
      <c r="B11" s="8">
        <v>5.5463065625000014E-3</v>
      </c>
      <c r="C11" s="8">
        <v>9.9664981874999989E-3</v>
      </c>
      <c r="D11" s="8">
        <v>4.4201916249999983E-3</v>
      </c>
      <c r="E11" s="8">
        <v>3.4393244999999999E-3</v>
      </c>
      <c r="F11" s="8">
        <v>8.3867424999999989E-3</v>
      </c>
      <c r="G11" s="8">
        <v>0.5625</v>
      </c>
      <c r="H11" s="8">
        <v>0.875</v>
      </c>
      <c r="I11" s="9">
        <v>6.4551439216448181E-2</v>
      </c>
      <c r="J11" s="9">
        <v>0.3552992193868833</v>
      </c>
    </row>
    <row r="12" spans="1:10" x14ac:dyDescent="0.4">
      <c r="A12" s="3" t="s">
        <v>42</v>
      </c>
      <c r="B12" s="4">
        <v>5.2322642500000011E-3</v>
      </c>
      <c r="C12" s="4">
        <v>9.578446187499999E-3</v>
      </c>
      <c r="D12" s="4">
        <v>4.3461819374999979E-3</v>
      </c>
      <c r="E12" s="4">
        <v>5.2757305000000008E-3</v>
      </c>
      <c r="F12" s="4">
        <v>8.5427374999999996E-3</v>
      </c>
      <c r="G12" s="4">
        <v>0.5625</v>
      </c>
      <c r="H12" s="4">
        <v>0.6875</v>
      </c>
      <c r="I12" s="5">
        <v>0.1214553353012184</v>
      </c>
      <c r="J12" s="5">
        <v>0.38171676808954358</v>
      </c>
    </row>
    <row r="13" spans="1:10" x14ac:dyDescent="0.4">
      <c r="A13" s="7" t="s">
        <v>43</v>
      </c>
      <c r="B13" s="8">
        <v>4.5259143125000014E-3</v>
      </c>
      <c r="C13" s="8">
        <v>8.3979341249999992E-3</v>
      </c>
      <c r="D13" s="8">
        <v>3.8720198124999991E-3</v>
      </c>
      <c r="E13" s="8">
        <v>0</v>
      </c>
      <c r="F13" s="8">
        <v>1.9286405000000001E-3</v>
      </c>
      <c r="G13" s="8">
        <v>0.4375</v>
      </c>
      <c r="H13" s="8">
        <v>0.5</v>
      </c>
      <c r="I13" s="9">
        <v>0.60944911258953438</v>
      </c>
      <c r="J13" s="9">
        <v>0.98455997116825711</v>
      </c>
    </row>
    <row r="14" spans="1:10" x14ac:dyDescent="0.4">
      <c r="A14" s="3" t="s">
        <v>44</v>
      </c>
      <c r="B14" s="4">
        <v>5.4155994999999998E-3</v>
      </c>
      <c r="C14" s="4">
        <v>2.0779178749999998E-3</v>
      </c>
      <c r="D14" s="4">
        <v>-3.337681625E-3</v>
      </c>
      <c r="E14" s="4">
        <v>0</v>
      </c>
      <c r="F14" s="4">
        <v>0</v>
      </c>
      <c r="G14" s="4">
        <v>0.3125</v>
      </c>
      <c r="H14" s="4">
        <v>0.3125</v>
      </c>
      <c r="I14" s="5">
        <v>0.81863655168548322</v>
      </c>
      <c r="J14" s="5">
        <v>0.98455997116825711</v>
      </c>
    </row>
    <row r="15" spans="1:10" x14ac:dyDescent="0.4">
      <c r="A15" s="7" t="s">
        <v>45</v>
      </c>
      <c r="B15" s="8">
        <v>3.725798125000001E-3</v>
      </c>
      <c r="C15" s="8">
        <v>6.8509149999999993E-4</v>
      </c>
      <c r="D15" s="8">
        <v>-3.0407066250000012E-3</v>
      </c>
      <c r="E15" s="8">
        <v>0</v>
      </c>
      <c r="F15" s="8">
        <v>0</v>
      </c>
      <c r="G15" s="8">
        <v>0.375</v>
      </c>
      <c r="H15" s="8">
        <v>0.125</v>
      </c>
      <c r="I15" s="9">
        <v>9.6899787105513627E-2</v>
      </c>
      <c r="J15" s="9">
        <v>0.3552992193868833</v>
      </c>
    </row>
    <row r="16" spans="1:10" x14ac:dyDescent="0.4">
      <c r="A16" s="3" t="s">
        <v>46</v>
      </c>
      <c r="B16" s="4">
        <v>2.9619266249999998E-3</v>
      </c>
      <c r="C16" s="4">
        <v>6.4679118749999998E-4</v>
      </c>
      <c r="D16" s="4">
        <v>-2.3151354375000001E-3</v>
      </c>
      <c r="E16" s="4">
        <v>0</v>
      </c>
      <c r="F16" s="4">
        <v>0</v>
      </c>
      <c r="G16" s="4">
        <v>0.375</v>
      </c>
      <c r="H16" s="4">
        <v>0.125</v>
      </c>
      <c r="I16" s="5">
        <v>8.7334810509625285E-2</v>
      </c>
      <c r="J16" s="5">
        <v>0.3552992193868833</v>
      </c>
    </row>
    <row r="17" spans="1:10" x14ac:dyDescent="0.4">
      <c r="A17" s="7" t="s">
        <v>47</v>
      </c>
      <c r="B17" s="8">
        <v>9.10016225E-3</v>
      </c>
      <c r="C17" s="8">
        <v>1.07456835E-2</v>
      </c>
      <c r="D17" s="8">
        <v>1.6455212499999991E-3</v>
      </c>
      <c r="E17" s="8">
        <v>4.220779E-3</v>
      </c>
      <c r="F17" s="8">
        <v>0</v>
      </c>
      <c r="G17" s="8">
        <v>0.5</v>
      </c>
      <c r="H17" s="8">
        <v>0.4375</v>
      </c>
      <c r="I17" s="9">
        <v>0.88625796526472378</v>
      </c>
      <c r="J17" s="9">
        <v>0.98455997116825711</v>
      </c>
    </row>
    <row r="18" spans="1:10" x14ac:dyDescent="0.4">
      <c r="A18" s="3" t="s">
        <v>23</v>
      </c>
      <c r="B18" s="4">
        <v>4.7397398625E-3</v>
      </c>
      <c r="C18" s="4">
        <v>5.9200073437499987E-3</v>
      </c>
      <c r="D18" s="4">
        <v>1.1802674812499991E-3</v>
      </c>
      <c r="E18" s="4">
        <v>1.1799064E-3</v>
      </c>
      <c r="F18" s="4">
        <v>1.07296135E-3</v>
      </c>
      <c r="G18" s="4">
        <v>0.625</v>
      </c>
      <c r="H18" s="4">
        <v>0.5</v>
      </c>
      <c r="I18" s="5">
        <v>0.67935453782101607</v>
      </c>
      <c r="J18" s="5">
        <v>0.98455997116825711</v>
      </c>
    </row>
    <row r="19" spans="1:10" x14ac:dyDescent="0.4">
      <c r="A19" s="7" t="s">
        <v>48</v>
      </c>
      <c r="B19" s="8">
        <v>3.7489493749999991E-3</v>
      </c>
      <c r="C19" s="8">
        <v>2.6381709375E-3</v>
      </c>
      <c r="D19" s="8">
        <v>-1.1107784375E-3</v>
      </c>
      <c r="E19" s="8">
        <v>1.3452914999999999E-3</v>
      </c>
      <c r="F19" s="8">
        <v>0</v>
      </c>
      <c r="G19" s="8">
        <v>0.5</v>
      </c>
      <c r="H19" s="8">
        <v>0.375</v>
      </c>
      <c r="I19" s="9">
        <v>0.42968952326279808</v>
      </c>
      <c r="J19" s="9">
        <v>0.94531695117815584</v>
      </c>
    </row>
    <row r="20" spans="1:10" x14ac:dyDescent="0.4">
      <c r="A20" s="3" t="s">
        <v>49</v>
      </c>
      <c r="B20" s="4">
        <v>2.8219769999999998E-3</v>
      </c>
      <c r="C20" s="4">
        <v>3.9222853125E-3</v>
      </c>
      <c r="D20" s="4">
        <v>1.1003083125E-3</v>
      </c>
      <c r="E20" s="4">
        <v>0</v>
      </c>
      <c r="F20" s="4">
        <v>0</v>
      </c>
      <c r="G20" s="4">
        <v>0.4375</v>
      </c>
      <c r="H20" s="4">
        <v>0.4375</v>
      </c>
      <c r="I20" s="5">
        <v>0.83538614974056502</v>
      </c>
      <c r="J20" s="5">
        <v>0.98455997116825711</v>
      </c>
    </row>
    <row r="21" spans="1:10" x14ac:dyDescent="0.4">
      <c r="A21" s="7" t="s">
        <v>50</v>
      </c>
      <c r="B21" s="8">
        <v>1.2133474375E-3</v>
      </c>
      <c r="C21" s="8">
        <v>1.9731336249999998E-3</v>
      </c>
      <c r="D21" s="8">
        <v>7.5978618749999983E-4</v>
      </c>
      <c r="E21" s="8">
        <v>0</v>
      </c>
      <c r="F21" s="8">
        <v>0</v>
      </c>
      <c r="G21" s="8">
        <v>0.25</v>
      </c>
      <c r="H21" s="8">
        <v>0.375</v>
      </c>
      <c r="I21" s="9">
        <v>0.39621179102758192</v>
      </c>
      <c r="J21" s="9">
        <v>0.94531695117815584</v>
      </c>
    </row>
    <row r="22" spans="1:10" x14ac:dyDescent="0.4">
      <c r="A22" s="3" t="s">
        <v>51</v>
      </c>
      <c r="B22" s="4">
        <v>3.1277723124999999E-3</v>
      </c>
      <c r="C22" s="4">
        <v>3.5994429374999999E-3</v>
      </c>
      <c r="D22" s="4">
        <v>4.7167062500000009E-4</v>
      </c>
      <c r="E22" s="4">
        <v>0</v>
      </c>
      <c r="F22" s="4">
        <v>0</v>
      </c>
      <c r="G22" s="4">
        <v>0.375</v>
      </c>
      <c r="H22" s="4">
        <v>0.3125</v>
      </c>
      <c r="I22" s="5">
        <v>0.70532930126641857</v>
      </c>
      <c r="J22" s="5">
        <v>0.98455997116825711</v>
      </c>
    </row>
    <row r="23" spans="1:10" x14ac:dyDescent="0.4">
      <c r="A23" s="7" t="s">
        <v>52</v>
      </c>
      <c r="B23" s="8">
        <v>1.0584851625000001E-2</v>
      </c>
      <c r="C23" s="8">
        <v>1.1033093375000001E-2</v>
      </c>
      <c r="D23" s="8">
        <v>4.482417500000016E-4</v>
      </c>
      <c r="E23" s="8">
        <v>3.23741E-3</v>
      </c>
      <c r="F23" s="8">
        <v>0</v>
      </c>
      <c r="G23" s="8">
        <v>0.5</v>
      </c>
      <c r="H23" s="8">
        <v>0.4375</v>
      </c>
      <c r="I23" s="9">
        <v>0.98369684328306384</v>
      </c>
      <c r="J23" s="9">
        <v>1</v>
      </c>
    </row>
    <row r="24" spans="1:10" x14ac:dyDescent="0.4">
      <c r="A24" s="3" t="s">
        <v>53</v>
      </c>
      <c r="B24" s="4">
        <v>5.812968E-3</v>
      </c>
      <c r="C24" s="4">
        <v>5.4596123124999998E-3</v>
      </c>
      <c r="D24" s="4">
        <v>-3.5335568750000009E-4</v>
      </c>
      <c r="E24" s="4">
        <v>6.3162090000000006E-3</v>
      </c>
      <c r="F24" s="4">
        <v>4.6721395000000002E-3</v>
      </c>
      <c r="G24" s="4">
        <v>0.6875</v>
      </c>
      <c r="H24" s="4">
        <v>0.6875</v>
      </c>
      <c r="I24" s="5">
        <v>0.87832865308333619</v>
      </c>
      <c r="J24" s="5">
        <v>0.98455997116825711</v>
      </c>
    </row>
    <row r="25" spans="1:10" x14ac:dyDescent="0.4">
      <c r="A25" s="7" t="s">
        <v>54</v>
      </c>
      <c r="B25" s="8">
        <v>8.2048640625000009E-3</v>
      </c>
      <c r="C25" s="8">
        <v>8.3875718749999995E-3</v>
      </c>
      <c r="D25" s="8">
        <v>1.8270781249999851E-4</v>
      </c>
      <c r="E25" s="8">
        <v>7.7493520000000001E-3</v>
      </c>
      <c r="F25" s="8">
        <v>1.982466E-3</v>
      </c>
      <c r="G25" s="8">
        <v>0.625</v>
      </c>
      <c r="H25" s="8">
        <v>0.5625</v>
      </c>
      <c r="I25" s="9">
        <v>0.62579106080640035</v>
      </c>
      <c r="J25" s="9">
        <v>0.98455997116825711</v>
      </c>
    </row>
  </sheetData>
  <autoFilter ref="A3:J25" xr:uid="{00000000-0009-0000-0000-000002000000}"/>
  <mergeCells count="2">
    <mergeCell ref="A1:J1"/>
    <mergeCell ref="A2:J2"/>
  </mergeCells>
  <phoneticPr fontId="9" type="noConversion"/>
  <conditionalFormatting sqref="D4:D25">
    <cfRule type="colorScale" priority="1">
      <colorScale>
        <cfvo type="min"/>
        <cfvo type="percentile" val="50"/>
        <cfvo type="max"/>
        <color rgb="FFFCA5A5"/>
        <color rgb="FFFFFFFF"/>
        <color rgb="FF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8" width="14" customWidth="1"/>
    <col min="9" max="10" width="13" customWidth="1"/>
  </cols>
  <sheetData>
    <row r="1" spans="1:10" ht="28.05" customHeight="1" x14ac:dyDescent="0.4">
      <c r="A1" s="23" t="s">
        <v>55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4.049999999999997" customHeight="1" x14ac:dyDescent="0.4">
      <c r="A2" s="26" t="s">
        <v>28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31.95" customHeight="1" x14ac:dyDescent="0.4">
      <c r="A3" s="2" t="s">
        <v>5</v>
      </c>
      <c r="B3" s="2" t="s">
        <v>6</v>
      </c>
      <c r="C3" s="2" t="s">
        <v>7</v>
      </c>
      <c r="D3" s="2" t="s">
        <v>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9</v>
      </c>
      <c r="J3" s="2" t="s">
        <v>10</v>
      </c>
    </row>
    <row r="4" spans="1:10" x14ac:dyDescent="0.4">
      <c r="A4" s="3" t="s">
        <v>56</v>
      </c>
      <c r="B4" s="4">
        <v>8.9731908312499997E-2</v>
      </c>
      <c r="C4" s="4">
        <v>0.14557002056250001</v>
      </c>
      <c r="D4" s="4">
        <v>5.5838112250000023E-2</v>
      </c>
      <c r="E4" s="4">
        <v>9.6117295999999991E-2</v>
      </c>
      <c r="F4" s="4">
        <v>0.13265491700000001</v>
      </c>
      <c r="G4" s="4">
        <v>1</v>
      </c>
      <c r="H4" s="4">
        <v>1</v>
      </c>
      <c r="I4" s="5">
        <v>3.3219207223642792E-2</v>
      </c>
      <c r="J4" s="5">
        <v>0.44493259498507021</v>
      </c>
    </row>
    <row r="5" spans="1:10" x14ac:dyDescent="0.4">
      <c r="A5" s="7" t="s">
        <v>57</v>
      </c>
      <c r="B5" s="8">
        <v>1.56535308125E-2</v>
      </c>
      <c r="C5" s="8">
        <v>6.1374488062500003E-2</v>
      </c>
      <c r="D5" s="8">
        <v>4.5720957249999999E-2</v>
      </c>
      <c r="E5" s="8">
        <v>7.6538934999999999E-3</v>
      </c>
      <c r="F5" s="8">
        <v>1.0005779500000001E-2</v>
      </c>
      <c r="G5" s="8">
        <v>0.6875</v>
      </c>
      <c r="H5" s="8">
        <v>0.6875</v>
      </c>
      <c r="I5" s="9">
        <v>1</v>
      </c>
      <c r="J5" s="9">
        <v>1</v>
      </c>
    </row>
    <row r="6" spans="1:10" x14ac:dyDescent="0.4">
      <c r="A6" s="3" t="s">
        <v>58</v>
      </c>
      <c r="B6" s="4">
        <v>6.1412466187500001E-2</v>
      </c>
      <c r="C6" s="4">
        <v>2.3109784250000001E-2</v>
      </c>
      <c r="D6" s="4">
        <v>-3.8302681937499999E-2</v>
      </c>
      <c r="E6" s="4">
        <v>3.7557634999999999E-2</v>
      </c>
      <c r="F6" s="4">
        <v>1.5869896500000001E-2</v>
      </c>
      <c r="G6" s="4">
        <v>1</v>
      </c>
      <c r="H6" s="4">
        <v>0.9375</v>
      </c>
      <c r="I6" s="5">
        <v>4.9877416490732686E-3</v>
      </c>
      <c r="J6" s="5">
        <v>0.1097303162796119</v>
      </c>
    </row>
    <row r="7" spans="1:10" x14ac:dyDescent="0.4">
      <c r="A7" s="7" t="s">
        <v>59</v>
      </c>
      <c r="B7" s="8">
        <v>0.15160744812499999</v>
      </c>
      <c r="C7" s="8">
        <v>0.11405062687500001</v>
      </c>
      <c r="D7" s="8">
        <v>-3.7556821249999983E-2</v>
      </c>
      <c r="E7" s="8">
        <v>0.14062907999999999</v>
      </c>
      <c r="F7" s="8">
        <v>0.11671447</v>
      </c>
      <c r="G7" s="8">
        <v>1</v>
      </c>
      <c r="H7" s="8">
        <v>0.875</v>
      </c>
      <c r="I7" s="9">
        <v>0.22057442761332641</v>
      </c>
      <c r="J7" s="9">
        <v>0.64701832099909073</v>
      </c>
    </row>
    <row r="8" spans="1:10" x14ac:dyDescent="0.4">
      <c r="A8" s="3" t="s">
        <v>60</v>
      </c>
      <c r="B8" s="4">
        <v>7.8298287500000008E-2</v>
      </c>
      <c r="C8" s="4">
        <v>5.3130305624999999E-2</v>
      </c>
      <c r="D8" s="4">
        <v>-2.5167981875000009E-2</v>
      </c>
      <c r="E8" s="4">
        <v>7.7614744999999999E-2</v>
      </c>
      <c r="F8" s="4">
        <v>5.9600109999999998E-2</v>
      </c>
      <c r="G8" s="4">
        <v>1</v>
      </c>
      <c r="H8" s="4">
        <v>0.9375</v>
      </c>
      <c r="I8" s="5">
        <v>6.7562680763559271E-2</v>
      </c>
      <c r="J8" s="5">
        <v>0.44493259498507021</v>
      </c>
    </row>
    <row r="9" spans="1:10" x14ac:dyDescent="0.4">
      <c r="A9" s="7" t="s">
        <v>61</v>
      </c>
      <c r="B9" s="8">
        <v>7.4838700000000008E-2</v>
      </c>
      <c r="C9" s="8">
        <v>5.3542326250000001E-2</v>
      </c>
      <c r="D9" s="8">
        <v>-2.129637375000001E-2</v>
      </c>
      <c r="E9" s="8">
        <v>6.8293935E-2</v>
      </c>
      <c r="F9" s="8">
        <v>5.1261849999999998E-2</v>
      </c>
      <c r="G9" s="8">
        <v>1</v>
      </c>
      <c r="H9" s="8">
        <v>0.8125</v>
      </c>
      <c r="I9" s="9">
        <v>0.1807506639152838</v>
      </c>
      <c r="J9" s="9">
        <v>0.56807351516232063</v>
      </c>
    </row>
    <row r="10" spans="1:10" x14ac:dyDescent="0.4">
      <c r="A10" s="3" t="s">
        <v>62</v>
      </c>
      <c r="B10" s="4">
        <v>9.7734396875000004E-2</v>
      </c>
      <c r="C10" s="4">
        <v>7.9036179375000001E-2</v>
      </c>
      <c r="D10" s="4">
        <v>-1.8698217499999999E-2</v>
      </c>
      <c r="E10" s="4">
        <v>7.666075E-2</v>
      </c>
      <c r="F10" s="4">
        <v>8.2575625E-2</v>
      </c>
      <c r="G10" s="4">
        <v>0.9375</v>
      </c>
      <c r="H10" s="4">
        <v>0.9375</v>
      </c>
      <c r="I10" s="5">
        <v>0.678422962518335</v>
      </c>
      <c r="J10" s="5">
        <v>0.9892388702938919</v>
      </c>
    </row>
    <row r="11" spans="1:10" x14ac:dyDescent="0.4">
      <c r="A11" s="7" t="s">
        <v>63</v>
      </c>
      <c r="B11" s="8">
        <v>3.0154988125000001E-3</v>
      </c>
      <c r="C11" s="8">
        <v>2.0471840875000001E-2</v>
      </c>
      <c r="D11" s="8">
        <v>1.7456342062500001E-2</v>
      </c>
      <c r="E11" s="8">
        <v>0</v>
      </c>
      <c r="F11" s="8">
        <v>9.0950449999999995E-4</v>
      </c>
      <c r="G11" s="8">
        <v>0.25</v>
      </c>
      <c r="H11" s="8">
        <v>0.5</v>
      </c>
      <c r="I11" s="9">
        <v>0.13485682266951979</v>
      </c>
      <c r="J11" s="9">
        <v>0.45643847672760562</v>
      </c>
    </row>
    <row r="12" spans="1:10" x14ac:dyDescent="0.4">
      <c r="A12" s="3" t="s">
        <v>64</v>
      </c>
      <c r="B12" s="4">
        <v>1.6725752E-2</v>
      </c>
      <c r="C12" s="4">
        <v>4.7671720625E-3</v>
      </c>
      <c r="D12" s="4">
        <v>-1.19585799375E-2</v>
      </c>
      <c r="E12" s="4">
        <v>1.4858045E-2</v>
      </c>
      <c r="F12" s="4">
        <v>0</v>
      </c>
      <c r="G12" s="4">
        <v>0.8125</v>
      </c>
      <c r="H12" s="4">
        <v>0.375</v>
      </c>
      <c r="I12" s="5">
        <v>4.6777666898808164E-3</v>
      </c>
      <c r="J12" s="5">
        <v>0.1097303162796119</v>
      </c>
    </row>
    <row r="13" spans="1:10" x14ac:dyDescent="0.4">
      <c r="A13" s="7" t="s">
        <v>65</v>
      </c>
      <c r="B13" s="8">
        <v>8.0151036374999998E-2</v>
      </c>
      <c r="C13" s="8">
        <v>7.0187499687500002E-2</v>
      </c>
      <c r="D13" s="8">
        <v>-9.9635366874999964E-3</v>
      </c>
      <c r="E13" s="8">
        <v>7.1936109999999998E-2</v>
      </c>
      <c r="F13" s="8">
        <v>7.4410560000000001E-2</v>
      </c>
      <c r="G13" s="8">
        <v>0.9375</v>
      </c>
      <c r="H13" s="8">
        <v>0.9375</v>
      </c>
      <c r="I13" s="9">
        <v>0.678422962518335</v>
      </c>
      <c r="J13" s="9">
        <v>0.9892388702938919</v>
      </c>
    </row>
    <row r="14" spans="1:10" x14ac:dyDescent="0.4">
      <c r="A14" s="3" t="s">
        <v>66</v>
      </c>
      <c r="B14" s="4">
        <v>1.9185080062499998E-2</v>
      </c>
      <c r="C14" s="4">
        <v>2.7535345062500001E-2</v>
      </c>
      <c r="D14" s="4">
        <v>8.3502650000000025E-3</v>
      </c>
      <c r="E14" s="4">
        <v>1.8679940999999999E-2</v>
      </c>
      <c r="F14" s="4">
        <v>2.9961679500000001E-2</v>
      </c>
      <c r="G14" s="4">
        <v>0.8125</v>
      </c>
      <c r="H14" s="4">
        <v>0.875</v>
      </c>
      <c r="I14" s="5">
        <v>7.9130136309237112E-2</v>
      </c>
      <c r="J14" s="5">
        <v>0.44493259498507021</v>
      </c>
    </row>
    <row r="15" spans="1:10" x14ac:dyDescent="0.4">
      <c r="A15" s="7" t="s">
        <v>67</v>
      </c>
      <c r="B15" s="8">
        <v>6.5786531875000002E-3</v>
      </c>
      <c r="C15" s="8">
        <v>1.4924933437499999E-2</v>
      </c>
      <c r="D15" s="8">
        <v>8.3462802499999992E-3</v>
      </c>
      <c r="E15" s="8">
        <v>5.1795890000000001E-3</v>
      </c>
      <c r="F15" s="8">
        <v>4.2804499999999999E-3</v>
      </c>
      <c r="G15" s="8">
        <v>0.5625</v>
      </c>
      <c r="H15" s="8">
        <v>0.5625</v>
      </c>
      <c r="I15" s="9">
        <v>0.58154768617955233</v>
      </c>
      <c r="J15" s="9">
        <v>0.9892388702938919</v>
      </c>
    </row>
    <row r="16" spans="1:10" x14ac:dyDescent="0.4">
      <c r="A16" s="3" t="s">
        <v>68</v>
      </c>
      <c r="B16" s="4">
        <v>1.7288113125000001E-2</v>
      </c>
      <c r="C16" s="4">
        <v>2.5498003750000001E-2</v>
      </c>
      <c r="D16" s="4">
        <v>8.2098906250000041E-3</v>
      </c>
      <c r="E16" s="4">
        <v>1.7307139999999999E-2</v>
      </c>
      <c r="F16" s="4">
        <v>2.6782150000000001E-2</v>
      </c>
      <c r="G16" s="4">
        <v>0.6875</v>
      </c>
      <c r="H16" s="4">
        <v>0.8125</v>
      </c>
      <c r="I16" s="5">
        <v>0.32337631067980349</v>
      </c>
      <c r="J16" s="5">
        <v>0.83697398058302097</v>
      </c>
    </row>
    <row r="17" spans="1:10" x14ac:dyDescent="0.4">
      <c r="A17" s="7" t="s">
        <v>69</v>
      </c>
      <c r="B17" s="8">
        <v>3.6198989437500002E-2</v>
      </c>
      <c r="C17" s="8">
        <v>4.2715182062500003E-2</v>
      </c>
      <c r="D17" s="8">
        <v>6.5161926249999932E-3</v>
      </c>
      <c r="E17" s="8">
        <v>3.5890828999999999E-2</v>
      </c>
      <c r="F17" s="8">
        <v>3.9980623999999999E-2</v>
      </c>
      <c r="G17" s="8">
        <v>0.9375</v>
      </c>
      <c r="H17" s="8">
        <v>0.875</v>
      </c>
      <c r="I17" s="9">
        <v>0.6374377501852625</v>
      </c>
      <c r="J17" s="9">
        <v>0.9892388702938919</v>
      </c>
    </row>
    <row r="18" spans="1:10" x14ac:dyDescent="0.4">
      <c r="A18" s="3" t="s">
        <v>70</v>
      </c>
      <c r="B18" s="4">
        <v>1.2180821374999999E-2</v>
      </c>
      <c r="C18" s="4">
        <v>1.8674879625000002E-2</v>
      </c>
      <c r="D18" s="4">
        <v>6.4940582500000003E-3</v>
      </c>
      <c r="E18" s="4">
        <v>9.7672785000000005E-3</v>
      </c>
      <c r="F18" s="4">
        <v>1.09077385E-2</v>
      </c>
      <c r="G18" s="4">
        <v>0.6875</v>
      </c>
      <c r="H18" s="4">
        <v>0.625</v>
      </c>
      <c r="I18" s="5">
        <v>0.92337651234734508</v>
      </c>
      <c r="J18" s="5">
        <v>0.99094064739715082</v>
      </c>
    </row>
    <row r="19" spans="1:10" x14ac:dyDescent="0.4">
      <c r="A19" s="7" t="s">
        <v>71</v>
      </c>
      <c r="B19" s="8">
        <v>6.7513693749999999E-3</v>
      </c>
      <c r="C19" s="8">
        <v>1.37393125E-3</v>
      </c>
      <c r="D19" s="8">
        <v>-5.3774381249999999E-3</v>
      </c>
      <c r="E19" s="8">
        <v>0</v>
      </c>
      <c r="F19" s="8">
        <v>0</v>
      </c>
      <c r="G19" s="8">
        <v>0.375</v>
      </c>
      <c r="H19" s="8">
        <v>0.125</v>
      </c>
      <c r="I19" s="9">
        <v>7.0492004108857476E-2</v>
      </c>
      <c r="J19" s="9">
        <v>0.44493259498507021</v>
      </c>
    </row>
    <row r="20" spans="1:10" x14ac:dyDescent="0.4">
      <c r="A20" s="3" t="s">
        <v>72</v>
      </c>
      <c r="B20" s="4">
        <v>3.8151384374999998E-3</v>
      </c>
      <c r="C20" s="4">
        <v>8.3691901250000002E-3</v>
      </c>
      <c r="D20" s="4">
        <v>4.5540516874999996E-3</v>
      </c>
      <c r="E20" s="4">
        <v>1.0277489999999999E-3</v>
      </c>
      <c r="F20" s="4">
        <v>7.0998464999999997E-3</v>
      </c>
      <c r="G20" s="4">
        <v>0.5</v>
      </c>
      <c r="H20" s="4">
        <v>0.6875</v>
      </c>
      <c r="I20" s="5">
        <v>8.96862678776882E-2</v>
      </c>
      <c r="J20" s="5">
        <v>0.44493259498507021</v>
      </c>
    </row>
    <row r="21" spans="1:10" x14ac:dyDescent="0.4">
      <c r="A21" s="7" t="s">
        <v>73</v>
      </c>
      <c r="B21" s="8">
        <v>5.1654634375000001E-3</v>
      </c>
      <c r="C21" s="8">
        <v>9.5597526874999991E-3</v>
      </c>
      <c r="D21" s="8">
        <v>4.394289249999999E-3</v>
      </c>
      <c r="E21" s="8">
        <v>2.3454825E-3</v>
      </c>
      <c r="F21" s="8">
        <v>4.0020560000000004E-3</v>
      </c>
      <c r="G21" s="8">
        <v>0.5625</v>
      </c>
      <c r="H21" s="8">
        <v>0.625</v>
      </c>
      <c r="I21" s="9">
        <v>0.47045679009749058</v>
      </c>
      <c r="J21" s="9">
        <v>0.94091358019498128</v>
      </c>
    </row>
    <row r="22" spans="1:10" x14ac:dyDescent="0.4">
      <c r="A22" s="3" t="s">
        <v>74</v>
      </c>
      <c r="B22" s="4">
        <v>5.2322642500000011E-3</v>
      </c>
      <c r="C22" s="4">
        <v>9.578446187499999E-3</v>
      </c>
      <c r="D22" s="4">
        <v>4.3461819374999979E-3</v>
      </c>
      <c r="E22" s="4">
        <v>5.2757305000000008E-3</v>
      </c>
      <c r="F22" s="4">
        <v>8.5427374999999996E-3</v>
      </c>
      <c r="G22" s="4">
        <v>0.5625</v>
      </c>
      <c r="H22" s="4">
        <v>0.6875</v>
      </c>
      <c r="I22" s="5">
        <v>0.1214553353012184</v>
      </c>
      <c r="J22" s="5">
        <v>0.45643847672760562</v>
      </c>
    </row>
    <row r="23" spans="1:10" x14ac:dyDescent="0.4">
      <c r="A23" s="7" t="s">
        <v>75</v>
      </c>
      <c r="B23" s="8">
        <v>4.5259143125000014E-3</v>
      </c>
      <c r="C23" s="8">
        <v>8.3979341249999992E-3</v>
      </c>
      <c r="D23" s="8">
        <v>3.8720198124999991E-3</v>
      </c>
      <c r="E23" s="8">
        <v>0</v>
      </c>
      <c r="F23" s="8">
        <v>1.9286405000000001E-3</v>
      </c>
      <c r="G23" s="8">
        <v>0.4375</v>
      </c>
      <c r="H23" s="8">
        <v>0.5</v>
      </c>
      <c r="I23" s="9">
        <v>0.60944911258953438</v>
      </c>
      <c r="J23" s="9">
        <v>0.9892388702938919</v>
      </c>
    </row>
    <row r="24" spans="1:10" x14ac:dyDescent="0.4">
      <c r="A24" s="3" t="s">
        <v>76</v>
      </c>
      <c r="B24" s="4">
        <v>7.1719829375000002E-2</v>
      </c>
      <c r="C24" s="4">
        <v>7.5230649999999996E-2</v>
      </c>
      <c r="D24" s="4">
        <v>3.510820624999994E-3</v>
      </c>
      <c r="E24" s="4">
        <v>6.7873380000000011E-2</v>
      </c>
      <c r="F24" s="4">
        <v>7.3430540000000002E-2</v>
      </c>
      <c r="G24" s="4">
        <v>1</v>
      </c>
      <c r="H24" s="4">
        <v>0.9375</v>
      </c>
      <c r="I24" s="5">
        <v>0.74869862505134566</v>
      </c>
      <c r="J24" s="5">
        <v>0.99094064739715082</v>
      </c>
    </row>
    <row r="25" spans="1:10" x14ac:dyDescent="0.4">
      <c r="A25" s="7" t="s">
        <v>77</v>
      </c>
      <c r="B25" s="8">
        <v>1.26049593125E-2</v>
      </c>
      <c r="C25" s="8">
        <v>9.1685783749999999E-3</v>
      </c>
      <c r="D25" s="8">
        <v>-3.436380937500001E-3</v>
      </c>
      <c r="E25" s="8">
        <v>5.5178635000000002E-3</v>
      </c>
      <c r="F25" s="8">
        <v>5.2014980000000006E-3</v>
      </c>
      <c r="G25" s="8">
        <v>0.5625</v>
      </c>
      <c r="H25" s="8">
        <v>0.625</v>
      </c>
      <c r="I25" s="9">
        <v>0.8301024538957964</v>
      </c>
      <c r="J25" s="9">
        <v>0.99094064739715082</v>
      </c>
    </row>
    <row r="26" spans="1:10" x14ac:dyDescent="0.4">
      <c r="A26" s="3" t="s">
        <v>78</v>
      </c>
      <c r="B26" s="4">
        <v>5.4155994999999998E-3</v>
      </c>
      <c r="C26" s="4">
        <v>2.0779178749999998E-3</v>
      </c>
      <c r="D26" s="4">
        <v>-3.337681625E-3</v>
      </c>
      <c r="E26" s="4">
        <v>0</v>
      </c>
      <c r="F26" s="4">
        <v>0</v>
      </c>
      <c r="G26" s="4">
        <v>0.3125</v>
      </c>
      <c r="H26" s="4">
        <v>0.3125</v>
      </c>
      <c r="I26" s="5">
        <v>0.81863655168548322</v>
      </c>
      <c r="J26" s="5">
        <v>0.99094064739715082</v>
      </c>
    </row>
    <row r="27" spans="1:10" x14ac:dyDescent="0.4">
      <c r="A27" s="7" t="s">
        <v>79</v>
      </c>
      <c r="B27" s="8">
        <v>3.725798125000001E-3</v>
      </c>
      <c r="C27" s="8">
        <v>6.8509149999999993E-4</v>
      </c>
      <c r="D27" s="8">
        <v>-3.0407066250000012E-3</v>
      </c>
      <c r="E27" s="8">
        <v>0</v>
      </c>
      <c r="F27" s="8">
        <v>0</v>
      </c>
      <c r="G27" s="8">
        <v>0.375</v>
      </c>
      <c r="H27" s="8">
        <v>0.125</v>
      </c>
      <c r="I27" s="9">
        <v>9.6899787105513627E-2</v>
      </c>
      <c r="J27" s="9">
        <v>0.44493259498507021</v>
      </c>
    </row>
    <row r="28" spans="1:10" x14ac:dyDescent="0.4">
      <c r="A28" s="3" t="s">
        <v>80</v>
      </c>
      <c r="B28" s="4">
        <v>2.9619266249999998E-3</v>
      </c>
      <c r="C28" s="4">
        <v>6.4679118749999998E-4</v>
      </c>
      <c r="D28" s="4">
        <v>-2.3151354375000001E-3</v>
      </c>
      <c r="E28" s="4">
        <v>0</v>
      </c>
      <c r="F28" s="4">
        <v>0</v>
      </c>
      <c r="G28" s="4">
        <v>0.375</v>
      </c>
      <c r="H28" s="4">
        <v>0.125</v>
      </c>
      <c r="I28" s="5">
        <v>8.7334810509625285E-2</v>
      </c>
      <c r="J28" s="5">
        <v>0.44493259498507021</v>
      </c>
    </row>
    <row r="29" spans="1:10" x14ac:dyDescent="0.4">
      <c r="A29" s="7" t="s">
        <v>81</v>
      </c>
      <c r="B29" s="8">
        <v>1.0139967499999999E-3</v>
      </c>
      <c r="C29" s="8">
        <v>3.0449815000000002E-3</v>
      </c>
      <c r="D29" s="8">
        <v>2.03098475E-3</v>
      </c>
      <c r="E29" s="8">
        <v>0</v>
      </c>
      <c r="F29" s="8">
        <v>0</v>
      </c>
      <c r="G29" s="8">
        <v>0.25</v>
      </c>
      <c r="H29" s="8">
        <v>0.4375</v>
      </c>
      <c r="I29" s="9">
        <v>0.124835729174466</v>
      </c>
      <c r="J29" s="9">
        <v>0.45643847672760562</v>
      </c>
    </row>
    <row r="30" spans="1:10" x14ac:dyDescent="0.4">
      <c r="A30" s="3" t="s">
        <v>82</v>
      </c>
      <c r="B30" s="4">
        <v>5.992501062499999E-3</v>
      </c>
      <c r="C30" s="4">
        <v>4.1519062500000002E-3</v>
      </c>
      <c r="D30" s="4">
        <v>-1.840594812499999E-3</v>
      </c>
      <c r="E30" s="4">
        <v>4.7160069999999986E-3</v>
      </c>
      <c r="F30" s="4">
        <v>0</v>
      </c>
      <c r="G30" s="4">
        <v>0.625</v>
      </c>
      <c r="H30" s="4">
        <v>0.4375</v>
      </c>
      <c r="I30" s="5">
        <v>0.29173246220806293</v>
      </c>
      <c r="J30" s="5">
        <v>0.80226427107217302</v>
      </c>
    </row>
    <row r="31" spans="1:10" x14ac:dyDescent="0.4">
      <c r="A31" s="7" t="s">
        <v>83</v>
      </c>
      <c r="B31" s="8">
        <v>9.10016225E-3</v>
      </c>
      <c r="C31" s="8">
        <v>1.07456835E-2</v>
      </c>
      <c r="D31" s="8">
        <v>1.6455212499999991E-3</v>
      </c>
      <c r="E31" s="8">
        <v>4.220779E-3</v>
      </c>
      <c r="F31" s="8">
        <v>0</v>
      </c>
      <c r="G31" s="8">
        <v>0.5</v>
      </c>
      <c r="H31" s="8">
        <v>0.4375</v>
      </c>
      <c r="I31" s="9">
        <v>0.88625796526472378</v>
      </c>
      <c r="J31" s="9">
        <v>0.99094064739715082</v>
      </c>
    </row>
    <row r="32" spans="1:10" x14ac:dyDescent="0.4">
      <c r="A32" s="3" t="s">
        <v>84</v>
      </c>
      <c r="B32" s="4">
        <v>1.3559463125000001E-3</v>
      </c>
      <c r="C32" s="4">
        <v>2.7438337499999998E-3</v>
      </c>
      <c r="D32" s="4">
        <v>1.3878874375E-3</v>
      </c>
      <c r="E32" s="4">
        <v>0</v>
      </c>
      <c r="F32" s="4">
        <v>0</v>
      </c>
      <c r="G32" s="4">
        <v>0.125</v>
      </c>
      <c r="H32" s="4">
        <v>0.4375</v>
      </c>
      <c r="I32" s="5">
        <v>0.1011210443147887</v>
      </c>
      <c r="J32" s="5">
        <v>0.44493259498507021</v>
      </c>
    </row>
    <row r="33" spans="1:10" x14ac:dyDescent="0.4">
      <c r="A33" s="7" t="s">
        <v>85</v>
      </c>
      <c r="B33" s="8">
        <v>2.6477657500000001E-2</v>
      </c>
      <c r="C33" s="8">
        <v>2.5156298125E-2</v>
      </c>
      <c r="D33" s="8">
        <v>-1.3213593750000009E-3</v>
      </c>
      <c r="E33" s="8">
        <v>2.8197675000000009E-2</v>
      </c>
      <c r="F33" s="8">
        <v>2.2002935000000001E-2</v>
      </c>
      <c r="G33" s="8">
        <v>0.875</v>
      </c>
      <c r="H33" s="8">
        <v>0.75</v>
      </c>
      <c r="I33" s="9">
        <v>0.71944645112283045</v>
      </c>
      <c r="J33" s="9">
        <v>0.9892388702938919</v>
      </c>
    </row>
    <row r="34" spans="1:10" x14ac:dyDescent="0.4">
      <c r="A34" s="3" t="s">
        <v>23</v>
      </c>
      <c r="B34" s="4">
        <v>4.7397398625E-3</v>
      </c>
      <c r="C34" s="4">
        <v>5.9200073437499987E-3</v>
      </c>
      <c r="D34" s="4">
        <v>1.1802674812499991E-3</v>
      </c>
      <c r="E34" s="4">
        <v>1.1799064E-3</v>
      </c>
      <c r="F34" s="4">
        <v>1.07296135E-3</v>
      </c>
      <c r="G34" s="4">
        <v>0.625</v>
      </c>
      <c r="H34" s="4">
        <v>0.5</v>
      </c>
      <c r="I34" s="5">
        <v>0.67935453782101607</v>
      </c>
      <c r="J34" s="5">
        <v>0.9892388702938919</v>
      </c>
    </row>
    <row r="35" spans="1:10" x14ac:dyDescent="0.4">
      <c r="A35" s="7" t="s">
        <v>86</v>
      </c>
      <c r="B35" s="8">
        <v>3.7489493749999991E-3</v>
      </c>
      <c r="C35" s="8">
        <v>2.6381709375E-3</v>
      </c>
      <c r="D35" s="8">
        <v>-1.1107784375E-3</v>
      </c>
      <c r="E35" s="8">
        <v>1.3452914999999999E-3</v>
      </c>
      <c r="F35" s="8">
        <v>0</v>
      </c>
      <c r="G35" s="8">
        <v>0.5</v>
      </c>
      <c r="H35" s="8">
        <v>0.375</v>
      </c>
      <c r="I35" s="9">
        <v>0.42968952326279808</v>
      </c>
      <c r="J35" s="9">
        <v>0.91407875687870743</v>
      </c>
    </row>
    <row r="36" spans="1:10" x14ac:dyDescent="0.4">
      <c r="A36" s="3" t="s">
        <v>87</v>
      </c>
      <c r="B36" s="4">
        <v>2.8219769999999998E-3</v>
      </c>
      <c r="C36" s="4">
        <v>3.9222853125E-3</v>
      </c>
      <c r="D36" s="4">
        <v>1.1003083125E-3</v>
      </c>
      <c r="E36" s="4">
        <v>0</v>
      </c>
      <c r="F36" s="4">
        <v>0</v>
      </c>
      <c r="G36" s="4">
        <v>0.4375</v>
      </c>
      <c r="H36" s="4">
        <v>0.4375</v>
      </c>
      <c r="I36" s="5">
        <v>0.83538614974056502</v>
      </c>
      <c r="J36" s="5">
        <v>0.99094064739715082</v>
      </c>
    </row>
    <row r="37" spans="1:10" x14ac:dyDescent="0.4">
      <c r="A37" s="7" t="s">
        <v>88</v>
      </c>
      <c r="B37" s="8">
        <v>1.81765391875E-2</v>
      </c>
      <c r="C37" s="8">
        <v>1.7349590812499999E-2</v>
      </c>
      <c r="D37" s="8">
        <v>-8.2694837500000076E-4</v>
      </c>
      <c r="E37" s="8">
        <v>1.3141486500000001E-2</v>
      </c>
      <c r="F37" s="8">
        <v>1.3383094E-2</v>
      </c>
      <c r="G37" s="8">
        <v>0.875</v>
      </c>
      <c r="H37" s="8">
        <v>0.6875</v>
      </c>
      <c r="I37" s="9">
        <v>0.69079214028042757</v>
      </c>
      <c r="J37" s="9">
        <v>0.9892388702938919</v>
      </c>
    </row>
    <row r="38" spans="1:10" x14ac:dyDescent="0.4">
      <c r="A38" s="3" t="s">
        <v>89</v>
      </c>
      <c r="B38" s="4">
        <v>1.2133474375E-3</v>
      </c>
      <c r="C38" s="4">
        <v>1.9731336249999998E-3</v>
      </c>
      <c r="D38" s="4">
        <v>7.5978618749999983E-4</v>
      </c>
      <c r="E38" s="4">
        <v>0</v>
      </c>
      <c r="F38" s="4">
        <v>0</v>
      </c>
      <c r="G38" s="4">
        <v>0.25</v>
      </c>
      <c r="H38" s="4">
        <v>0.375</v>
      </c>
      <c r="I38" s="5">
        <v>0.39621179102758192</v>
      </c>
      <c r="J38" s="5">
        <v>0.91407875687870743</v>
      </c>
    </row>
    <row r="39" spans="1:10" x14ac:dyDescent="0.4">
      <c r="A39" s="7" t="s">
        <v>90</v>
      </c>
      <c r="B39" s="8">
        <v>3.1277723124999999E-3</v>
      </c>
      <c r="C39" s="8">
        <v>3.5994429374999999E-3</v>
      </c>
      <c r="D39" s="8">
        <v>4.7167062500000009E-4</v>
      </c>
      <c r="E39" s="8">
        <v>0</v>
      </c>
      <c r="F39" s="8">
        <v>0</v>
      </c>
      <c r="G39" s="8">
        <v>0.375</v>
      </c>
      <c r="H39" s="8">
        <v>0.3125</v>
      </c>
      <c r="I39" s="9">
        <v>0.70532930126641857</v>
      </c>
      <c r="J39" s="9">
        <v>0.9892388702938919</v>
      </c>
    </row>
    <row r="40" spans="1:10" x14ac:dyDescent="0.4">
      <c r="A40" s="3" t="s">
        <v>91</v>
      </c>
      <c r="B40" s="4">
        <v>1.0584851625000001E-2</v>
      </c>
      <c r="C40" s="4">
        <v>1.1033093375000001E-2</v>
      </c>
      <c r="D40" s="4">
        <v>4.482417500000016E-4</v>
      </c>
      <c r="E40" s="4">
        <v>3.23741E-3</v>
      </c>
      <c r="F40" s="4">
        <v>0</v>
      </c>
      <c r="G40" s="4">
        <v>0.5</v>
      </c>
      <c r="H40" s="4">
        <v>0.4375</v>
      </c>
      <c r="I40" s="5">
        <v>0.98369684328306384</v>
      </c>
      <c r="J40" s="5">
        <v>1</v>
      </c>
    </row>
    <row r="41" spans="1:10" x14ac:dyDescent="0.4">
      <c r="A41" s="7" t="s">
        <v>92</v>
      </c>
      <c r="B41" s="8">
        <v>5.812968E-3</v>
      </c>
      <c r="C41" s="8">
        <v>5.4596123124999998E-3</v>
      </c>
      <c r="D41" s="8">
        <v>-3.5335568750000009E-4</v>
      </c>
      <c r="E41" s="8">
        <v>6.3162090000000006E-3</v>
      </c>
      <c r="F41" s="8">
        <v>4.6721395000000002E-3</v>
      </c>
      <c r="G41" s="8">
        <v>0.6875</v>
      </c>
      <c r="H41" s="8">
        <v>0.6875</v>
      </c>
      <c r="I41" s="9">
        <v>0.87832865308333619</v>
      </c>
      <c r="J41" s="9">
        <v>0.99094064739715082</v>
      </c>
    </row>
    <row r="42" spans="1:10" x14ac:dyDescent="0.4">
      <c r="A42" s="3" t="s">
        <v>93</v>
      </c>
      <c r="B42" s="4">
        <v>2.0946256875000002E-3</v>
      </c>
      <c r="C42" s="4">
        <v>1.7498441875000001E-3</v>
      </c>
      <c r="D42" s="4">
        <v>-3.4478149999999969E-4</v>
      </c>
      <c r="E42" s="4">
        <v>9.6899200000000001E-4</v>
      </c>
      <c r="F42" s="4">
        <v>0</v>
      </c>
      <c r="G42" s="4">
        <v>0.5</v>
      </c>
      <c r="H42" s="4">
        <v>0.25</v>
      </c>
      <c r="I42" s="5">
        <v>0.35143768410357368</v>
      </c>
      <c r="J42" s="5">
        <v>0.85906989447540238</v>
      </c>
    </row>
    <row r="43" spans="1:10" x14ac:dyDescent="0.4">
      <c r="A43" s="7" t="s">
        <v>94</v>
      </c>
      <c r="B43" s="8">
        <v>3.4639974375000001E-3</v>
      </c>
      <c r="C43" s="8">
        <v>3.1965448749999991E-3</v>
      </c>
      <c r="D43" s="8">
        <v>-2.6745256250000063E-4</v>
      </c>
      <c r="E43" s="8">
        <v>0</v>
      </c>
      <c r="F43" s="8">
        <v>0</v>
      </c>
      <c r="G43" s="8">
        <v>0.4375</v>
      </c>
      <c r="H43" s="8">
        <v>0.375</v>
      </c>
      <c r="I43" s="9">
        <v>0.81569172876471774</v>
      </c>
      <c r="J43" s="9">
        <v>0.99094064739715082</v>
      </c>
    </row>
    <row r="44" spans="1:10" x14ac:dyDescent="0.4">
      <c r="A44" s="3" t="s">
        <v>95</v>
      </c>
      <c r="B44" s="4">
        <v>4.8261321250000003E-3</v>
      </c>
      <c r="C44" s="4">
        <v>4.5871083750000001E-3</v>
      </c>
      <c r="D44" s="4">
        <v>-2.3902375000000011E-4</v>
      </c>
      <c r="E44" s="4">
        <v>0</v>
      </c>
      <c r="F44" s="4">
        <v>0</v>
      </c>
      <c r="G44" s="4">
        <v>0.375</v>
      </c>
      <c r="H44" s="4">
        <v>0.375</v>
      </c>
      <c r="I44" s="5">
        <v>0.98271130085854286</v>
      </c>
      <c r="J44" s="5">
        <v>1</v>
      </c>
    </row>
    <row r="45" spans="1:10" x14ac:dyDescent="0.4">
      <c r="A45" s="7" t="s">
        <v>54</v>
      </c>
      <c r="B45" s="8">
        <v>8.2048640625000009E-3</v>
      </c>
      <c r="C45" s="8">
        <v>8.3875718749999995E-3</v>
      </c>
      <c r="D45" s="8">
        <v>1.8270781249999851E-4</v>
      </c>
      <c r="E45" s="8">
        <v>7.7493520000000001E-3</v>
      </c>
      <c r="F45" s="8">
        <v>1.982466E-3</v>
      </c>
      <c r="G45" s="8">
        <v>0.625</v>
      </c>
      <c r="H45" s="8">
        <v>0.5625</v>
      </c>
      <c r="I45" s="9">
        <v>0.62579106080640035</v>
      </c>
      <c r="J45" s="9">
        <v>0.9892388702938919</v>
      </c>
    </row>
    <row r="46" spans="1:10" x14ac:dyDescent="0.4">
      <c r="A46" s="3" t="s">
        <v>96</v>
      </c>
      <c r="B46" s="4">
        <v>1.7311681250000001E-3</v>
      </c>
      <c r="C46" s="4">
        <v>1.5973080624999999E-3</v>
      </c>
      <c r="D46" s="4">
        <v>-1.3386006249999991E-4</v>
      </c>
      <c r="E46" s="4">
        <v>0</v>
      </c>
      <c r="F46" s="4">
        <v>0</v>
      </c>
      <c r="G46" s="4">
        <v>0.3125</v>
      </c>
      <c r="H46" s="4">
        <v>0.375</v>
      </c>
      <c r="I46" s="5">
        <v>0.91144460784835057</v>
      </c>
      <c r="J46" s="5">
        <v>0.99094064739715082</v>
      </c>
    </row>
    <row r="47" spans="1:10" x14ac:dyDescent="0.4">
      <c r="A47" s="7" t="s">
        <v>97</v>
      </c>
      <c r="B47" s="8">
        <v>2.9938610625E-3</v>
      </c>
      <c r="C47" s="8">
        <v>3.0667094375000001E-3</v>
      </c>
      <c r="D47" s="8">
        <v>7.2848374999999726E-5</v>
      </c>
      <c r="E47" s="8">
        <v>0</v>
      </c>
      <c r="F47" s="8">
        <v>0</v>
      </c>
      <c r="G47" s="8">
        <v>0.4375</v>
      </c>
      <c r="H47" s="8">
        <v>0.25</v>
      </c>
      <c r="I47" s="9">
        <v>0.43626486123756492</v>
      </c>
      <c r="J47" s="9">
        <v>0.91407875687870743</v>
      </c>
    </row>
  </sheetData>
  <autoFilter ref="A3:J47" xr:uid="{00000000-0009-0000-0000-000003000000}"/>
  <mergeCells count="2">
    <mergeCell ref="A1:J1"/>
    <mergeCell ref="A2:J2"/>
  </mergeCells>
  <phoneticPr fontId="9" type="noConversion"/>
  <conditionalFormatting sqref="D4:D47">
    <cfRule type="colorScale" priority="1">
      <colorScale>
        <cfvo type="min"/>
        <cfvo type="percentile" val="50"/>
        <cfvo type="max"/>
        <color rgb="FFFCA5A5"/>
        <color rgb="FFFFFFFF"/>
        <color rgb="FF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2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8" width="14" customWidth="1"/>
    <col min="9" max="10" width="13" customWidth="1"/>
  </cols>
  <sheetData>
    <row r="1" spans="1:10" ht="28.05" customHeight="1" x14ac:dyDescent="0.4">
      <c r="A1" s="23" t="s">
        <v>98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4.049999999999997" customHeight="1" x14ac:dyDescent="0.4">
      <c r="A2" s="26" t="s">
        <v>28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31.95" customHeight="1" x14ac:dyDescent="0.4">
      <c r="A3" s="2" t="s">
        <v>5</v>
      </c>
      <c r="B3" s="2" t="s">
        <v>6</v>
      </c>
      <c r="C3" s="2" t="s">
        <v>7</v>
      </c>
      <c r="D3" s="2" t="s">
        <v>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9</v>
      </c>
      <c r="J3" s="2" t="s">
        <v>10</v>
      </c>
    </row>
    <row r="4" spans="1:10" x14ac:dyDescent="0.4">
      <c r="A4" s="3" t="s">
        <v>99</v>
      </c>
      <c r="B4" s="4">
        <v>1.56535308125E-2</v>
      </c>
      <c r="C4" s="4">
        <v>6.1374488062500003E-2</v>
      </c>
      <c r="D4" s="4">
        <v>4.5720957249999999E-2</v>
      </c>
      <c r="E4" s="4">
        <v>7.6538934999999999E-3</v>
      </c>
      <c r="F4" s="4">
        <v>1.0005779500000001E-2</v>
      </c>
      <c r="G4" s="4">
        <v>0.6875</v>
      </c>
      <c r="H4" s="4">
        <v>0.6875</v>
      </c>
      <c r="I4" s="5">
        <v>1</v>
      </c>
      <c r="J4" s="5">
        <v>1</v>
      </c>
    </row>
    <row r="5" spans="1:10" x14ac:dyDescent="0.4">
      <c r="A5" s="7" t="s">
        <v>100</v>
      </c>
      <c r="B5" s="8">
        <v>6.1412466187500001E-2</v>
      </c>
      <c r="C5" s="8">
        <v>2.3109784250000001E-2</v>
      </c>
      <c r="D5" s="8">
        <v>-3.8302681937499999E-2</v>
      </c>
      <c r="E5" s="8">
        <v>3.7557634999999999E-2</v>
      </c>
      <c r="F5" s="8">
        <v>1.5869896500000001E-2</v>
      </c>
      <c r="G5" s="8">
        <v>1</v>
      </c>
      <c r="H5" s="8">
        <v>0.9375</v>
      </c>
      <c r="I5" s="9">
        <v>4.9877416490732686E-3</v>
      </c>
      <c r="J5" s="9">
        <v>0.29427675729532282</v>
      </c>
    </row>
    <row r="6" spans="1:10" x14ac:dyDescent="0.4">
      <c r="A6" s="3" t="s">
        <v>101</v>
      </c>
      <c r="B6" s="4">
        <v>6.9717059999999997E-2</v>
      </c>
      <c r="C6" s="4">
        <v>0.106801149375</v>
      </c>
      <c r="D6" s="4">
        <v>3.708408937499999E-2</v>
      </c>
      <c r="E6" s="4">
        <v>7.4628794999999998E-2</v>
      </c>
      <c r="F6" s="4">
        <v>6.3060610000000003E-2</v>
      </c>
      <c r="G6" s="4">
        <v>1</v>
      </c>
      <c r="H6" s="4">
        <v>0.875</v>
      </c>
      <c r="I6" s="5">
        <v>0.63753029714708476</v>
      </c>
      <c r="J6" s="5">
        <v>1</v>
      </c>
    </row>
    <row r="7" spans="1:10" x14ac:dyDescent="0.4">
      <c r="A7" s="7" t="s">
        <v>102</v>
      </c>
      <c r="B7" s="8">
        <v>7.8298287500000008E-2</v>
      </c>
      <c r="C7" s="8">
        <v>5.3130305624999999E-2</v>
      </c>
      <c r="D7" s="8">
        <v>-2.5167981875000009E-2</v>
      </c>
      <c r="E7" s="8">
        <v>7.7614744999999999E-2</v>
      </c>
      <c r="F7" s="8">
        <v>5.9600109999999998E-2</v>
      </c>
      <c r="G7" s="8">
        <v>1</v>
      </c>
      <c r="H7" s="8">
        <v>0.9375</v>
      </c>
      <c r="I7" s="9">
        <v>6.7562680763559271E-2</v>
      </c>
      <c r="J7" s="9">
        <v>0.46803250220598058</v>
      </c>
    </row>
    <row r="8" spans="1:10" x14ac:dyDescent="0.4">
      <c r="A8" s="3" t="s">
        <v>103</v>
      </c>
      <c r="B8" s="4">
        <v>7.7790555750000004E-2</v>
      </c>
      <c r="C8" s="4">
        <v>5.4327987750000001E-2</v>
      </c>
      <c r="D8" s="4">
        <v>-2.3462568E-2</v>
      </c>
      <c r="E8" s="4">
        <v>7.60229615E-2</v>
      </c>
      <c r="F8" s="4">
        <v>5.8464728999999993E-2</v>
      </c>
      <c r="G8" s="4">
        <v>1</v>
      </c>
      <c r="H8" s="4">
        <v>0.75</v>
      </c>
      <c r="I8" s="5">
        <v>0.16854071903727519</v>
      </c>
      <c r="J8" s="5">
        <v>0.54289734676153578</v>
      </c>
    </row>
    <row r="9" spans="1:10" x14ac:dyDescent="0.4">
      <c r="A9" s="7" t="s">
        <v>104</v>
      </c>
      <c r="B9" s="8">
        <v>4.3208990312500001E-2</v>
      </c>
      <c r="C9" s="8">
        <v>2.1351292062499999E-2</v>
      </c>
      <c r="D9" s="8">
        <v>-2.1857698250000002E-2</v>
      </c>
      <c r="E9" s="8">
        <v>4.1681363999999999E-2</v>
      </c>
      <c r="F9" s="8">
        <v>1.8173135999999999E-2</v>
      </c>
      <c r="G9" s="8">
        <v>0.9375</v>
      </c>
      <c r="H9" s="8">
        <v>0.8125</v>
      </c>
      <c r="I9" s="9">
        <v>2.8672278195015471E-2</v>
      </c>
      <c r="J9" s="9">
        <v>0.46803250220598058</v>
      </c>
    </row>
    <row r="10" spans="1:10" x14ac:dyDescent="0.4">
      <c r="A10" s="3" t="s">
        <v>105</v>
      </c>
      <c r="B10" s="4">
        <v>3.0154988125000001E-3</v>
      </c>
      <c r="C10" s="4">
        <v>2.0471840875000001E-2</v>
      </c>
      <c r="D10" s="4">
        <v>1.7456342062500001E-2</v>
      </c>
      <c r="E10" s="4">
        <v>0</v>
      </c>
      <c r="F10" s="4">
        <v>9.0950449999999995E-4</v>
      </c>
      <c r="G10" s="4">
        <v>0.25</v>
      </c>
      <c r="H10" s="4">
        <v>0.5</v>
      </c>
      <c r="I10" s="5">
        <v>0.13485682266951979</v>
      </c>
      <c r="J10" s="5">
        <v>0.46803250220598058</v>
      </c>
    </row>
    <row r="11" spans="1:10" x14ac:dyDescent="0.4">
      <c r="A11" s="7" t="s">
        <v>106</v>
      </c>
      <c r="B11" s="8">
        <v>4.012667575E-2</v>
      </c>
      <c r="C11" s="8">
        <v>2.3514301875000001E-2</v>
      </c>
      <c r="D11" s="8">
        <v>-1.6612373874999999E-2</v>
      </c>
      <c r="E11" s="8">
        <v>3.27852005E-2</v>
      </c>
      <c r="F11" s="8">
        <v>2.03355715E-2</v>
      </c>
      <c r="G11" s="8">
        <v>1</v>
      </c>
      <c r="H11" s="8">
        <v>0.75</v>
      </c>
      <c r="I11" s="9">
        <v>0.1008031342809225</v>
      </c>
      <c r="J11" s="9">
        <v>0.46803250220598058</v>
      </c>
    </row>
    <row r="12" spans="1:10" x14ac:dyDescent="0.4">
      <c r="A12" s="3" t="s">
        <v>107</v>
      </c>
      <c r="B12" s="4">
        <v>7.3816891249999989E-2</v>
      </c>
      <c r="C12" s="4">
        <v>5.9722638124999998E-2</v>
      </c>
      <c r="D12" s="4">
        <v>-1.409425312499998E-2</v>
      </c>
      <c r="E12" s="4">
        <v>7.542278999999999E-2</v>
      </c>
      <c r="F12" s="4">
        <v>5.8091269999999993E-2</v>
      </c>
      <c r="G12" s="4">
        <v>1</v>
      </c>
      <c r="H12" s="4">
        <v>0.875</v>
      </c>
      <c r="I12" s="5">
        <v>0.22057442761332641</v>
      </c>
      <c r="J12" s="5">
        <v>0.6506945614593127</v>
      </c>
    </row>
    <row r="13" spans="1:10" x14ac:dyDescent="0.4">
      <c r="A13" s="7" t="s">
        <v>108</v>
      </c>
      <c r="B13" s="8">
        <v>9.4977861874999993E-3</v>
      </c>
      <c r="C13" s="8">
        <v>2.23134246875E-2</v>
      </c>
      <c r="D13" s="8">
        <v>1.28156385E-2</v>
      </c>
      <c r="E13" s="8">
        <v>7.9794305000000006E-3</v>
      </c>
      <c r="F13" s="8">
        <v>1.2834028000000001E-2</v>
      </c>
      <c r="G13" s="8">
        <v>0.75</v>
      </c>
      <c r="H13" s="8">
        <v>0.625</v>
      </c>
      <c r="I13" s="9">
        <v>0.47892456310041159</v>
      </c>
      <c r="J13" s="9">
        <v>0.94188497409747629</v>
      </c>
    </row>
    <row r="14" spans="1:10" x14ac:dyDescent="0.4">
      <c r="A14" s="3" t="s">
        <v>109</v>
      </c>
      <c r="B14" s="4">
        <v>7.7105165000000003E-2</v>
      </c>
      <c r="C14" s="4">
        <v>6.5238845625E-2</v>
      </c>
      <c r="D14" s="4">
        <v>-1.1866319375E-2</v>
      </c>
      <c r="E14" s="4">
        <v>6.1437249999999999E-2</v>
      </c>
      <c r="F14" s="4">
        <v>7.7074064999999997E-2</v>
      </c>
      <c r="G14" s="4">
        <v>0.9375</v>
      </c>
      <c r="H14" s="4">
        <v>0.9375</v>
      </c>
      <c r="I14" s="5">
        <v>1</v>
      </c>
      <c r="J14" s="5">
        <v>1</v>
      </c>
    </row>
    <row r="15" spans="1:10" x14ac:dyDescent="0.4">
      <c r="A15" s="7" t="s">
        <v>110</v>
      </c>
      <c r="B15" s="8">
        <v>1.22393169375E-2</v>
      </c>
      <c r="C15" s="8">
        <v>3.6801235000000002E-3</v>
      </c>
      <c r="D15" s="8">
        <v>-8.5591934375000012E-3</v>
      </c>
      <c r="E15" s="8">
        <v>1.1249499499999999E-2</v>
      </c>
      <c r="F15" s="8">
        <v>0</v>
      </c>
      <c r="G15" s="8">
        <v>0.6875</v>
      </c>
      <c r="H15" s="8">
        <v>0.3125</v>
      </c>
      <c r="I15" s="9">
        <v>1.4000701942799071E-2</v>
      </c>
      <c r="J15" s="9">
        <v>0.41302070731257251</v>
      </c>
    </row>
    <row r="16" spans="1:10" x14ac:dyDescent="0.4">
      <c r="A16" s="3" t="s">
        <v>111</v>
      </c>
      <c r="B16" s="4">
        <v>1.9185080062499998E-2</v>
      </c>
      <c r="C16" s="4">
        <v>2.7535345062500001E-2</v>
      </c>
      <c r="D16" s="4">
        <v>8.3502650000000025E-3</v>
      </c>
      <c r="E16" s="4">
        <v>1.8679940999999999E-2</v>
      </c>
      <c r="F16" s="4">
        <v>2.9961679500000001E-2</v>
      </c>
      <c r="G16" s="4">
        <v>0.8125</v>
      </c>
      <c r="H16" s="4">
        <v>0.875</v>
      </c>
      <c r="I16" s="5">
        <v>7.9130136309237112E-2</v>
      </c>
      <c r="J16" s="5">
        <v>0.46803250220598058</v>
      </c>
    </row>
    <row r="17" spans="1:10" x14ac:dyDescent="0.4">
      <c r="A17" s="7" t="s">
        <v>112</v>
      </c>
      <c r="B17" s="8">
        <v>6.5786531875000002E-3</v>
      </c>
      <c r="C17" s="8">
        <v>1.4924933437499999E-2</v>
      </c>
      <c r="D17" s="8">
        <v>8.3462802499999992E-3</v>
      </c>
      <c r="E17" s="8">
        <v>5.1795890000000001E-3</v>
      </c>
      <c r="F17" s="8">
        <v>4.2804499999999999E-3</v>
      </c>
      <c r="G17" s="8">
        <v>0.5625</v>
      </c>
      <c r="H17" s="8">
        <v>0.5625</v>
      </c>
      <c r="I17" s="9">
        <v>0.58154768617955233</v>
      </c>
      <c r="J17" s="9">
        <v>1</v>
      </c>
    </row>
    <row r="18" spans="1:10" x14ac:dyDescent="0.4">
      <c r="A18" s="3" t="s">
        <v>113</v>
      </c>
      <c r="B18" s="4">
        <v>1.7288113125000001E-2</v>
      </c>
      <c r="C18" s="4">
        <v>2.5498003750000001E-2</v>
      </c>
      <c r="D18" s="4">
        <v>8.2098906250000041E-3</v>
      </c>
      <c r="E18" s="4">
        <v>1.7307139999999999E-2</v>
      </c>
      <c r="F18" s="4">
        <v>2.6782150000000001E-2</v>
      </c>
      <c r="G18" s="4">
        <v>0.6875</v>
      </c>
      <c r="H18" s="4">
        <v>0.8125</v>
      </c>
      <c r="I18" s="5">
        <v>0.32337631067980349</v>
      </c>
      <c r="J18" s="5">
        <v>0.83759259030930977</v>
      </c>
    </row>
    <row r="19" spans="1:10" x14ac:dyDescent="0.4">
      <c r="A19" s="7" t="s">
        <v>114</v>
      </c>
      <c r="B19" s="8">
        <v>4.251795125E-3</v>
      </c>
      <c r="C19" s="8">
        <v>1.2374303999999999E-2</v>
      </c>
      <c r="D19" s="8">
        <v>8.122508875E-3</v>
      </c>
      <c r="E19" s="8">
        <v>0</v>
      </c>
      <c r="F19" s="8">
        <v>0</v>
      </c>
      <c r="G19" s="8">
        <v>0.1875</v>
      </c>
      <c r="H19" s="8">
        <v>0.3125</v>
      </c>
      <c r="I19" s="9">
        <v>0.34643133252893088</v>
      </c>
      <c r="J19" s="9">
        <v>0.83759259030930977</v>
      </c>
    </row>
    <row r="20" spans="1:10" x14ac:dyDescent="0.4">
      <c r="A20" s="3" t="s">
        <v>23</v>
      </c>
      <c r="B20" s="4">
        <v>1.1367743056250001E-2</v>
      </c>
      <c r="C20" s="4">
        <v>1.94414544125E-2</v>
      </c>
      <c r="D20" s="4">
        <v>8.073711356249999E-3</v>
      </c>
      <c r="E20" s="4">
        <v>5.8698495500000003E-3</v>
      </c>
      <c r="F20" s="4">
        <v>6.9488751499999996E-3</v>
      </c>
      <c r="G20" s="4">
        <v>0.6875</v>
      </c>
      <c r="H20" s="4">
        <v>0.5625</v>
      </c>
      <c r="I20" s="5">
        <v>0.69862779668458042</v>
      </c>
      <c r="J20" s="5">
        <v>1</v>
      </c>
    </row>
    <row r="21" spans="1:10" x14ac:dyDescent="0.4">
      <c r="A21" s="7" t="s">
        <v>115</v>
      </c>
      <c r="B21" s="8">
        <v>1.6252781875E-2</v>
      </c>
      <c r="C21" s="8">
        <v>9.0815851875000013E-3</v>
      </c>
      <c r="D21" s="8">
        <v>-7.1711966874999991E-3</v>
      </c>
      <c r="E21" s="8">
        <v>1.0128475E-2</v>
      </c>
      <c r="F21" s="8">
        <v>5.6090925000000002E-3</v>
      </c>
      <c r="G21" s="8">
        <v>0.8125</v>
      </c>
      <c r="H21" s="8">
        <v>0.75</v>
      </c>
      <c r="I21" s="9">
        <v>0.13454642778626491</v>
      </c>
      <c r="J21" s="9">
        <v>0.46803250220598058</v>
      </c>
    </row>
    <row r="22" spans="1:10" x14ac:dyDescent="0.4">
      <c r="A22" s="3" t="s">
        <v>116</v>
      </c>
      <c r="B22" s="4">
        <v>2.0629232500000001E-2</v>
      </c>
      <c r="C22" s="4">
        <v>1.3797334374999999E-2</v>
      </c>
      <c r="D22" s="4">
        <v>-6.8318981249999994E-3</v>
      </c>
      <c r="E22" s="4">
        <v>1.9447525E-2</v>
      </c>
      <c r="F22" s="4">
        <v>5.1051050000000004E-3</v>
      </c>
      <c r="G22" s="4">
        <v>0.625</v>
      </c>
      <c r="H22" s="4">
        <v>0.5</v>
      </c>
      <c r="I22" s="5">
        <v>0.3549121145378431</v>
      </c>
      <c r="J22" s="5">
        <v>0.83759259030930977</v>
      </c>
    </row>
    <row r="23" spans="1:10" x14ac:dyDescent="0.4">
      <c r="A23" s="7" t="s">
        <v>117</v>
      </c>
      <c r="B23" s="8">
        <v>3.4402593125E-3</v>
      </c>
      <c r="C23" s="8">
        <v>1.011167925E-2</v>
      </c>
      <c r="D23" s="8">
        <v>6.6714199375E-3</v>
      </c>
      <c r="E23" s="8">
        <v>0</v>
      </c>
      <c r="F23" s="8">
        <v>0</v>
      </c>
      <c r="G23" s="8">
        <v>0.1875</v>
      </c>
      <c r="H23" s="8">
        <v>0.4375</v>
      </c>
      <c r="I23" s="9">
        <v>0.1301848830852802</v>
      </c>
      <c r="J23" s="9">
        <v>0.46803250220598058</v>
      </c>
    </row>
    <row r="24" spans="1:10" x14ac:dyDescent="0.4">
      <c r="A24" s="3" t="s">
        <v>118</v>
      </c>
      <c r="B24" s="4">
        <v>1.2180821374999999E-2</v>
      </c>
      <c r="C24" s="4">
        <v>1.8674879625000002E-2</v>
      </c>
      <c r="D24" s="4">
        <v>6.4940582500000003E-3</v>
      </c>
      <c r="E24" s="4">
        <v>9.7672785000000005E-3</v>
      </c>
      <c r="F24" s="4">
        <v>1.09077385E-2</v>
      </c>
      <c r="G24" s="4">
        <v>0.6875</v>
      </c>
      <c r="H24" s="4">
        <v>0.625</v>
      </c>
      <c r="I24" s="5">
        <v>0.92337651234734508</v>
      </c>
      <c r="J24" s="5">
        <v>1</v>
      </c>
    </row>
    <row r="25" spans="1:10" x14ac:dyDescent="0.4">
      <c r="A25" s="7" t="s">
        <v>119</v>
      </c>
      <c r="B25" s="8">
        <v>4.3892755625000002E-2</v>
      </c>
      <c r="C25" s="8">
        <v>4.9414563437500003E-2</v>
      </c>
      <c r="D25" s="8">
        <v>5.5218078124999936E-3</v>
      </c>
      <c r="E25" s="8">
        <v>4.0094188000000003E-2</v>
      </c>
      <c r="F25" s="8">
        <v>4.4483633999999987E-2</v>
      </c>
      <c r="G25" s="8">
        <v>1</v>
      </c>
      <c r="H25" s="8">
        <v>0.875</v>
      </c>
      <c r="I25" s="9">
        <v>0.98496380907811942</v>
      </c>
      <c r="J25" s="9">
        <v>1</v>
      </c>
    </row>
    <row r="26" spans="1:10" x14ac:dyDescent="0.4">
      <c r="A26" s="3" t="s">
        <v>120</v>
      </c>
      <c r="B26" s="4">
        <v>6.7513693749999999E-3</v>
      </c>
      <c r="C26" s="4">
        <v>1.37393125E-3</v>
      </c>
      <c r="D26" s="4">
        <v>-5.3774381249999999E-3</v>
      </c>
      <c r="E26" s="4">
        <v>0</v>
      </c>
      <c r="F26" s="4">
        <v>0</v>
      </c>
      <c r="G26" s="4">
        <v>0.375</v>
      </c>
      <c r="H26" s="4">
        <v>0.125</v>
      </c>
      <c r="I26" s="5">
        <v>7.0492004108857476E-2</v>
      </c>
      <c r="J26" s="5">
        <v>0.46803250220598058</v>
      </c>
    </row>
    <row r="27" spans="1:10" x14ac:dyDescent="0.4">
      <c r="A27" s="7" t="s">
        <v>121</v>
      </c>
      <c r="B27" s="8">
        <v>3.8151384374999998E-3</v>
      </c>
      <c r="C27" s="8">
        <v>8.3691901250000002E-3</v>
      </c>
      <c r="D27" s="8">
        <v>4.5540516874999996E-3</v>
      </c>
      <c r="E27" s="8">
        <v>1.0277489999999999E-3</v>
      </c>
      <c r="F27" s="8">
        <v>7.0998464999999997E-3</v>
      </c>
      <c r="G27" s="8">
        <v>0.5</v>
      </c>
      <c r="H27" s="8">
        <v>0.6875</v>
      </c>
      <c r="I27" s="9">
        <v>8.96862678776882E-2</v>
      </c>
      <c r="J27" s="9">
        <v>0.46803250220598058</v>
      </c>
    </row>
    <row r="28" spans="1:10" x14ac:dyDescent="0.4">
      <c r="A28" s="3" t="s">
        <v>122</v>
      </c>
      <c r="B28" s="4">
        <v>5.1654634375000001E-3</v>
      </c>
      <c r="C28" s="4">
        <v>9.5597526874999991E-3</v>
      </c>
      <c r="D28" s="4">
        <v>4.394289249999999E-3</v>
      </c>
      <c r="E28" s="4">
        <v>2.3454825E-3</v>
      </c>
      <c r="F28" s="4">
        <v>4.0020560000000004E-3</v>
      </c>
      <c r="G28" s="4">
        <v>0.5625</v>
      </c>
      <c r="H28" s="4">
        <v>0.625</v>
      </c>
      <c r="I28" s="5">
        <v>0.47045679009749058</v>
      </c>
      <c r="J28" s="5">
        <v>0.94188497409747629</v>
      </c>
    </row>
    <row r="29" spans="1:10" x14ac:dyDescent="0.4">
      <c r="A29" s="7" t="s">
        <v>123</v>
      </c>
      <c r="B29" s="8">
        <v>5.2322642500000011E-3</v>
      </c>
      <c r="C29" s="8">
        <v>9.578446187499999E-3</v>
      </c>
      <c r="D29" s="8">
        <v>4.3461819374999979E-3</v>
      </c>
      <c r="E29" s="8">
        <v>5.2757305000000008E-3</v>
      </c>
      <c r="F29" s="8">
        <v>8.5427374999999996E-3</v>
      </c>
      <c r="G29" s="8">
        <v>0.5625</v>
      </c>
      <c r="H29" s="8">
        <v>0.6875</v>
      </c>
      <c r="I29" s="9">
        <v>0.1214553353012184</v>
      </c>
      <c r="J29" s="9">
        <v>0.46803250220598058</v>
      </c>
    </row>
    <row r="30" spans="1:10" x14ac:dyDescent="0.4">
      <c r="A30" s="3" t="s">
        <v>124</v>
      </c>
      <c r="B30" s="4">
        <v>2.4010543125E-3</v>
      </c>
      <c r="C30" s="4">
        <v>6.6533536875000004E-3</v>
      </c>
      <c r="D30" s="4">
        <v>4.2522993750000009E-3</v>
      </c>
      <c r="E30" s="4">
        <v>0</v>
      </c>
      <c r="F30" s="4">
        <v>0</v>
      </c>
      <c r="G30" s="4">
        <v>0.25</v>
      </c>
      <c r="H30" s="4">
        <v>0.3125</v>
      </c>
      <c r="I30" s="5">
        <v>0.52118414294643856</v>
      </c>
      <c r="J30" s="5">
        <v>0.99193111076902818</v>
      </c>
    </row>
    <row r="31" spans="1:10" x14ac:dyDescent="0.4">
      <c r="A31" s="7" t="s">
        <v>125</v>
      </c>
      <c r="B31" s="8">
        <v>4.5259143125000014E-3</v>
      </c>
      <c r="C31" s="8">
        <v>8.3979341249999992E-3</v>
      </c>
      <c r="D31" s="8">
        <v>3.8720198124999991E-3</v>
      </c>
      <c r="E31" s="8">
        <v>0</v>
      </c>
      <c r="F31" s="8">
        <v>1.9286405000000001E-3</v>
      </c>
      <c r="G31" s="8">
        <v>0.4375</v>
      </c>
      <c r="H31" s="8">
        <v>0.5</v>
      </c>
      <c r="I31" s="9">
        <v>0.60944911258953438</v>
      </c>
      <c r="J31" s="9">
        <v>1</v>
      </c>
    </row>
    <row r="32" spans="1:10" x14ac:dyDescent="0.4">
      <c r="A32" s="3" t="s">
        <v>126</v>
      </c>
      <c r="B32" s="4">
        <v>1.26049593125E-2</v>
      </c>
      <c r="C32" s="4">
        <v>9.1685783749999999E-3</v>
      </c>
      <c r="D32" s="4">
        <v>-3.436380937500001E-3</v>
      </c>
      <c r="E32" s="4">
        <v>5.5178635000000002E-3</v>
      </c>
      <c r="F32" s="4">
        <v>5.2014980000000006E-3</v>
      </c>
      <c r="G32" s="4">
        <v>0.5625</v>
      </c>
      <c r="H32" s="4">
        <v>0.625</v>
      </c>
      <c r="I32" s="5">
        <v>0.8301024538957964</v>
      </c>
      <c r="J32" s="5">
        <v>1</v>
      </c>
    </row>
    <row r="33" spans="1:10" x14ac:dyDescent="0.4">
      <c r="A33" s="7" t="s">
        <v>127</v>
      </c>
      <c r="B33" s="8">
        <v>4.4864350000000004E-3</v>
      </c>
      <c r="C33" s="8">
        <v>1.0870485625000001E-3</v>
      </c>
      <c r="D33" s="8">
        <v>-3.399386437500001E-3</v>
      </c>
      <c r="E33" s="8">
        <v>0</v>
      </c>
      <c r="F33" s="8">
        <v>0</v>
      </c>
      <c r="G33" s="8">
        <v>0.4375</v>
      </c>
      <c r="H33" s="8">
        <v>0.125</v>
      </c>
      <c r="I33" s="9">
        <v>4.8600070598591442E-2</v>
      </c>
      <c r="J33" s="9">
        <v>0.46803250220598058</v>
      </c>
    </row>
    <row r="34" spans="1:10" x14ac:dyDescent="0.4">
      <c r="A34" s="3" t="s">
        <v>128</v>
      </c>
      <c r="B34" s="4">
        <v>5.4155994999999998E-3</v>
      </c>
      <c r="C34" s="4">
        <v>2.0779178749999998E-3</v>
      </c>
      <c r="D34" s="4">
        <v>-3.337681625E-3</v>
      </c>
      <c r="E34" s="4">
        <v>0</v>
      </c>
      <c r="F34" s="4">
        <v>0</v>
      </c>
      <c r="G34" s="4">
        <v>0.3125</v>
      </c>
      <c r="H34" s="4">
        <v>0.3125</v>
      </c>
      <c r="I34" s="5">
        <v>0.81863655168548322</v>
      </c>
      <c r="J34" s="5">
        <v>1</v>
      </c>
    </row>
    <row r="35" spans="1:10" x14ac:dyDescent="0.4">
      <c r="A35" s="7" t="s">
        <v>129</v>
      </c>
      <c r="B35" s="8">
        <v>3.725798125000001E-3</v>
      </c>
      <c r="C35" s="8">
        <v>6.8509149999999993E-4</v>
      </c>
      <c r="D35" s="8">
        <v>-3.0407066250000012E-3</v>
      </c>
      <c r="E35" s="8">
        <v>0</v>
      </c>
      <c r="F35" s="8">
        <v>0</v>
      </c>
      <c r="G35" s="8">
        <v>0.375</v>
      </c>
      <c r="H35" s="8">
        <v>0.125</v>
      </c>
      <c r="I35" s="9">
        <v>9.6899787105513627E-2</v>
      </c>
      <c r="J35" s="9">
        <v>0.46803250220598058</v>
      </c>
    </row>
    <row r="36" spans="1:10" x14ac:dyDescent="0.4">
      <c r="A36" s="3" t="s">
        <v>130</v>
      </c>
      <c r="B36" s="4">
        <v>6.6784685000000014E-3</v>
      </c>
      <c r="C36" s="4">
        <v>3.75993225E-3</v>
      </c>
      <c r="D36" s="4">
        <v>-2.9185362500000001E-3</v>
      </c>
      <c r="E36" s="4">
        <v>5.5346644999999996E-3</v>
      </c>
      <c r="F36" s="4">
        <v>0</v>
      </c>
      <c r="G36" s="4">
        <v>0.5625</v>
      </c>
      <c r="H36" s="4">
        <v>0.375</v>
      </c>
      <c r="I36" s="5">
        <v>0.40213722401754431</v>
      </c>
      <c r="J36" s="5">
        <v>0.87874430433463369</v>
      </c>
    </row>
    <row r="37" spans="1:10" x14ac:dyDescent="0.4">
      <c r="A37" s="7" t="s">
        <v>131</v>
      </c>
      <c r="B37" s="8">
        <v>2.1201968125E-3</v>
      </c>
      <c r="C37" s="8">
        <v>4.9765466249999998E-3</v>
      </c>
      <c r="D37" s="8">
        <v>2.8563498124999998E-3</v>
      </c>
      <c r="E37" s="8">
        <v>0</v>
      </c>
      <c r="F37" s="8">
        <v>0</v>
      </c>
      <c r="G37" s="8">
        <v>0.25</v>
      </c>
      <c r="H37" s="8">
        <v>0.4375</v>
      </c>
      <c r="I37" s="9">
        <v>0.1748313489571047</v>
      </c>
      <c r="J37" s="9">
        <v>0.54289734676153578</v>
      </c>
    </row>
    <row r="38" spans="1:10" x14ac:dyDescent="0.4">
      <c r="A38" s="3" t="s">
        <v>132</v>
      </c>
      <c r="B38" s="4">
        <v>1.6986613187499999E-2</v>
      </c>
      <c r="C38" s="4">
        <v>1.43874993125E-2</v>
      </c>
      <c r="D38" s="4">
        <v>-2.5991138750000001E-3</v>
      </c>
      <c r="E38" s="4">
        <v>9.085213E-3</v>
      </c>
      <c r="F38" s="4">
        <v>6.2368105000000004E-3</v>
      </c>
      <c r="G38" s="4">
        <v>0.5</v>
      </c>
      <c r="H38" s="4">
        <v>0.5625</v>
      </c>
      <c r="I38" s="5">
        <v>0.95241131189486161</v>
      </c>
      <c r="J38" s="5">
        <v>1</v>
      </c>
    </row>
    <row r="39" spans="1:10" x14ac:dyDescent="0.4">
      <c r="A39" s="7" t="s">
        <v>80</v>
      </c>
      <c r="B39" s="8">
        <v>2.9619266249999998E-3</v>
      </c>
      <c r="C39" s="8">
        <v>6.4679118749999998E-4</v>
      </c>
      <c r="D39" s="8">
        <v>-2.3151354375000001E-3</v>
      </c>
      <c r="E39" s="8">
        <v>0</v>
      </c>
      <c r="F39" s="8">
        <v>0</v>
      </c>
      <c r="G39" s="8">
        <v>0.375</v>
      </c>
      <c r="H39" s="8">
        <v>0.125</v>
      </c>
      <c r="I39" s="9">
        <v>8.7334810509625285E-2</v>
      </c>
      <c r="J39" s="9">
        <v>0.46803250220598058</v>
      </c>
    </row>
    <row r="40" spans="1:10" x14ac:dyDescent="0.4">
      <c r="A40" s="3" t="s">
        <v>133</v>
      </c>
      <c r="B40" s="4">
        <v>1.0139967499999999E-3</v>
      </c>
      <c r="C40" s="4">
        <v>3.0449815000000002E-3</v>
      </c>
      <c r="D40" s="4">
        <v>2.03098475E-3</v>
      </c>
      <c r="E40" s="4">
        <v>0</v>
      </c>
      <c r="F40" s="4">
        <v>0</v>
      </c>
      <c r="G40" s="4">
        <v>0.25</v>
      </c>
      <c r="H40" s="4">
        <v>0.4375</v>
      </c>
      <c r="I40" s="5">
        <v>0.124835729174466</v>
      </c>
      <c r="J40" s="5">
        <v>0.46803250220598058</v>
      </c>
    </row>
    <row r="41" spans="1:10" x14ac:dyDescent="0.4">
      <c r="A41" s="7" t="s">
        <v>134</v>
      </c>
      <c r="B41" s="8">
        <v>2.5847965812499998E-2</v>
      </c>
      <c r="C41" s="8">
        <v>2.7736446500000001E-2</v>
      </c>
      <c r="D41" s="8">
        <v>1.8884806874999991E-3</v>
      </c>
      <c r="E41" s="8">
        <v>2.3587835500000001E-2</v>
      </c>
      <c r="F41" s="8">
        <v>2.6075299499999999E-2</v>
      </c>
      <c r="G41" s="8">
        <v>0.9375</v>
      </c>
      <c r="H41" s="8">
        <v>0.9375</v>
      </c>
      <c r="I41" s="9">
        <v>0.65104677545499379</v>
      </c>
      <c r="J41" s="9">
        <v>1</v>
      </c>
    </row>
    <row r="42" spans="1:10" x14ac:dyDescent="0.4">
      <c r="A42" s="3" t="s">
        <v>135</v>
      </c>
      <c r="B42" s="4">
        <v>5.992501062499999E-3</v>
      </c>
      <c r="C42" s="4">
        <v>4.1519062500000002E-3</v>
      </c>
      <c r="D42" s="4">
        <v>-1.840594812499999E-3</v>
      </c>
      <c r="E42" s="4">
        <v>4.7160069999999986E-3</v>
      </c>
      <c r="F42" s="4">
        <v>0</v>
      </c>
      <c r="G42" s="4">
        <v>0.625</v>
      </c>
      <c r="H42" s="4">
        <v>0.4375</v>
      </c>
      <c r="I42" s="5">
        <v>0.29173246220806293</v>
      </c>
      <c r="J42" s="5">
        <v>0.8196292985845578</v>
      </c>
    </row>
    <row r="43" spans="1:10" x14ac:dyDescent="0.4">
      <c r="A43" s="7" t="s">
        <v>136</v>
      </c>
      <c r="B43" s="8">
        <v>1.8808160625000001E-2</v>
      </c>
      <c r="C43" s="8">
        <v>1.7126738749999999E-2</v>
      </c>
      <c r="D43" s="8">
        <v>-1.681421874999998E-3</v>
      </c>
      <c r="E43" s="8">
        <v>2.3807660000000001E-2</v>
      </c>
      <c r="F43" s="8">
        <v>1.576957E-2</v>
      </c>
      <c r="G43" s="8">
        <v>0.6875</v>
      </c>
      <c r="H43" s="8">
        <v>0.5625</v>
      </c>
      <c r="I43" s="9">
        <v>0.64221209329399875</v>
      </c>
      <c r="J43" s="9">
        <v>1</v>
      </c>
    </row>
    <row r="44" spans="1:10" x14ac:dyDescent="0.4">
      <c r="A44" s="3" t="s">
        <v>137</v>
      </c>
      <c r="B44" s="4">
        <v>9.10016225E-3</v>
      </c>
      <c r="C44" s="4">
        <v>1.07456835E-2</v>
      </c>
      <c r="D44" s="4">
        <v>1.6455212499999991E-3</v>
      </c>
      <c r="E44" s="4">
        <v>4.220779E-3</v>
      </c>
      <c r="F44" s="4">
        <v>0</v>
      </c>
      <c r="G44" s="4">
        <v>0.5</v>
      </c>
      <c r="H44" s="4">
        <v>0.4375</v>
      </c>
      <c r="I44" s="5">
        <v>0.88625796526472378</v>
      </c>
      <c r="J44" s="5">
        <v>1</v>
      </c>
    </row>
    <row r="45" spans="1:10" x14ac:dyDescent="0.4">
      <c r="A45" s="7" t="s">
        <v>138</v>
      </c>
      <c r="B45" s="8">
        <v>1.5772606562499999E-2</v>
      </c>
      <c r="C45" s="8">
        <v>1.7235999750000001E-2</v>
      </c>
      <c r="D45" s="8">
        <v>1.463393187500002E-3</v>
      </c>
      <c r="E45" s="8">
        <v>1.9381171499999999E-2</v>
      </c>
      <c r="F45" s="8">
        <v>1.9527006499999999E-2</v>
      </c>
      <c r="G45" s="8">
        <v>0.75</v>
      </c>
      <c r="H45" s="8">
        <v>0.6875</v>
      </c>
      <c r="I45" s="9">
        <v>1</v>
      </c>
      <c r="J45" s="9">
        <v>1</v>
      </c>
    </row>
    <row r="46" spans="1:10" x14ac:dyDescent="0.4">
      <c r="A46" s="3" t="s">
        <v>139</v>
      </c>
      <c r="B46" s="4">
        <v>1.3559463125000001E-3</v>
      </c>
      <c r="C46" s="4">
        <v>2.7438337499999998E-3</v>
      </c>
      <c r="D46" s="4">
        <v>1.3878874375E-3</v>
      </c>
      <c r="E46" s="4">
        <v>0</v>
      </c>
      <c r="F46" s="4">
        <v>0</v>
      </c>
      <c r="G46" s="4">
        <v>0.125</v>
      </c>
      <c r="H46" s="4">
        <v>0.4375</v>
      </c>
      <c r="I46" s="5">
        <v>0.1011210443147887</v>
      </c>
      <c r="J46" s="5">
        <v>0.46803250220598058</v>
      </c>
    </row>
    <row r="47" spans="1:10" x14ac:dyDescent="0.4">
      <c r="A47" s="7" t="s">
        <v>140</v>
      </c>
      <c r="B47" s="8">
        <v>2.6477657500000001E-2</v>
      </c>
      <c r="C47" s="8">
        <v>2.5156298125E-2</v>
      </c>
      <c r="D47" s="8">
        <v>-1.3213593750000009E-3</v>
      </c>
      <c r="E47" s="8">
        <v>2.8197675000000009E-2</v>
      </c>
      <c r="F47" s="8">
        <v>2.2002935000000001E-2</v>
      </c>
      <c r="G47" s="8">
        <v>0.875</v>
      </c>
      <c r="H47" s="8">
        <v>0.75</v>
      </c>
      <c r="I47" s="9">
        <v>0.71944645112283045</v>
      </c>
      <c r="J47" s="9">
        <v>1</v>
      </c>
    </row>
    <row r="48" spans="1:10" x14ac:dyDescent="0.4">
      <c r="A48" s="3" t="s">
        <v>141</v>
      </c>
      <c r="B48" s="4">
        <v>5.9958123750000003E-3</v>
      </c>
      <c r="C48" s="4">
        <v>4.8255463125000007E-3</v>
      </c>
      <c r="D48" s="4">
        <v>-1.1702660625000001E-3</v>
      </c>
      <c r="E48" s="4">
        <v>0</v>
      </c>
      <c r="F48" s="4">
        <v>0</v>
      </c>
      <c r="G48" s="4">
        <v>0.3125</v>
      </c>
      <c r="H48" s="4">
        <v>0.25</v>
      </c>
      <c r="I48" s="5">
        <v>0.72154055026407948</v>
      </c>
      <c r="J48" s="5">
        <v>1</v>
      </c>
    </row>
    <row r="49" spans="1:10" x14ac:dyDescent="0.4">
      <c r="A49" s="7" t="s">
        <v>142</v>
      </c>
      <c r="B49" s="8">
        <v>3.7489493749999991E-3</v>
      </c>
      <c r="C49" s="8">
        <v>2.6381709375E-3</v>
      </c>
      <c r="D49" s="8">
        <v>-1.1107784375E-3</v>
      </c>
      <c r="E49" s="8">
        <v>1.3452914999999999E-3</v>
      </c>
      <c r="F49" s="8">
        <v>0</v>
      </c>
      <c r="G49" s="8">
        <v>0.5</v>
      </c>
      <c r="H49" s="8">
        <v>0.375</v>
      </c>
      <c r="I49" s="9">
        <v>0.42968952326279808</v>
      </c>
      <c r="J49" s="9">
        <v>0.90541720973232453</v>
      </c>
    </row>
    <row r="50" spans="1:10" x14ac:dyDescent="0.4">
      <c r="A50" s="3" t="s">
        <v>143</v>
      </c>
      <c r="B50" s="4">
        <v>2.8219769999999998E-3</v>
      </c>
      <c r="C50" s="4">
        <v>3.9222853125E-3</v>
      </c>
      <c r="D50" s="4">
        <v>1.1003083125E-3</v>
      </c>
      <c r="E50" s="4">
        <v>0</v>
      </c>
      <c r="F50" s="4">
        <v>0</v>
      </c>
      <c r="G50" s="4">
        <v>0.4375</v>
      </c>
      <c r="H50" s="4">
        <v>0.4375</v>
      </c>
      <c r="I50" s="5">
        <v>0.83538614974056502</v>
      </c>
      <c r="J50" s="5">
        <v>1</v>
      </c>
    </row>
    <row r="51" spans="1:10" x14ac:dyDescent="0.4">
      <c r="A51" s="7" t="s">
        <v>144</v>
      </c>
      <c r="B51" s="8">
        <v>1.1046942875E-2</v>
      </c>
      <c r="C51" s="8">
        <v>1.1880593625E-2</v>
      </c>
      <c r="D51" s="8">
        <v>8.3365075000000136E-4</v>
      </c>
      <c r="E51" s="8">
        <v>8.949157499999999E-3</v>
      </c>
      <c r="F51" s="8">
        <v>7.049693000000001E-3</v>
      </c>
      <c r="G51" s="8">
        <v>0.625</v>
      </c>
      <c r="H51" s="8">
        <v>0.5625</v>
      </c>
      <c r="I51" s="9">
        <v>0.79981778786931557</v>
      </c>
      <c r="J51" s="9">
        <v>1</v>
      </c>
    </row>
    <row r="52" spans="1:10" x14ac:dyDescent="0.4">
      <c r="A52" s="3" t="s">
        <v>88</v>
      </c>
      <c r="B52" s="4">
        <v>1.81765391875E-2</v>
      </c>
      <c r="C52" s="4">
        <v>1.7349590812499999E-2</v>
      </c>
      <c r="D52" s="4">
        <v>-8.2694837500000076E-4</v>
      </c>
      <c r="E52" s="4">
        <v>1.3141486500000001E-2</v>
      </c>
      <c r="F52" s="4">
        <v>1.3383094E-2</v>
      </c>
      <c r="G52" s="4">
        <v>0.875</v>
      </c>
      <c r="H52" s="4">
        <v>0.6875</v>
      </c>
      <c r="I52" s="5">
        <v>0.69079214028042757</v>
      </c>
      <c r="J52" s="5">
        <v>1</v>
      </c>
    </row>
    <row r="53" spans="1:10" x14ac:dyDescent="0.4">
      <c r="A53" s="7" t="s">
        <v>145</v>
      </c>
      <c r="B53" s="8">
        <v>1.2133474375E-3</v>
      </c>
      <c r="C53" s="8">
        <v>1.9731336249999998E-3</v>
      </c>
      <c r="D53" s="8">
        <v>7.5978618749999983E-4</v>
      </c>
      <c r="E53" s="8">
        <v>0</v>
      </c>
      <c r="F53" s="8">
        <v>0</v>
      </c>
      <c r="G53" s="8">
        <v>0.25</v>
      </c>
      <c r="H53" s="8">
        <v>0.375</v>
      </c>
      <c r="I53" s="9">
        <v>0.39621179102758192</v>
      </c>
      <c r="J53" s="9">
        <v>0.87874430433463369</v>
      </c>
    </row>
    <row r="54" spans="1:10" x14ac:dyDescent="0.4">
      <c r="A54" s="3" t="s">
        <v>146</v>
      </c>
      <c r="B54" s="4">
        <v>1.0406215375E-2</v>
      </c>
      <c r="C54" s="4">
        <v>1.1064939937500001E-2</v>
      </c>
      <c r="D54" s="4">
        <v>6.5872456250000086E-4</v>
      </c>
      <c r="E54" s="4">
        <v>6.2031259999999998E-3</v>
      </c>
      <c r="F54" s="4">
        <v>6.0078945000000003E-3</v>
      </c>
      <c r="G54" s="4">
        <v>0.625</v>
      </c>
      <c r="H54" s="4">
        <v>0.5625</v>
      </c>
      <c r="I54" s="5">
        <v>0.92230400641691435</v>
      </c>
      <c r="J54" s="5">
        <v>1</v>
      </c>
    </row>
    <row r="55" spans="1:10" x14ac:dyDescent="0.4">
      <c r="A55" s="7" t="s">
        <v>90</v>
      </c>
      <c r="B55" s="8">
        <v>3.1277723124999999E-3</v>
      </c>
      <c r="C55" s="8">
        <v>3.5994429374999999E-3</v>
      </c>
      <c r="D55" s="8">
        <v>4.7167062500000009E-4</v>
      </c>
      <c r="E55" s="8">
        <v>0</v>
      </c>
      <c r="F55" s="8">
        <v>0</v>
      </c>
      <c r="G55" s="8">
        <v>0.375</v>
      </c>
      <c r="H55" s="8">
        <v>0.3125</v>
      </c>
      <c r="I55" s="9">
        <v>0.70532930126641857</v>
      </c>
      <c r="J55" s="9">
        <v>1</v>
      </c>
    </row>
    <row r="56" spans="1:10" x14ac:dyDescent="0.4">
      <c r="A56" s="3" t="s">
        <v>147</v>
      </c>
      <c r="B56" s="4">
        <v>5.812968E-3</v>
      </c>
      <c r="C56" s="4">
        <v>5.4596123124999998E-3</v>
      </c>
      <c r="D56" s="4">
        <v>-3.5335568750000009E-4</v>
      </c>
      <c r="E56" s="4">
        <v>6.3162090000000006E-3</v>
      </c>
      <c r="F56" s="4">
        <v>4.6721395000000002E-3</v>
      </c>
      <c r="G56" s="4">
        <v>0.6875</v>
      </c>
      <c r="H56" s="4">
        <v>0.6875</v>
      </c>
      <c r="I56" s="5">
        <v>0.87832865308333619</v>
      </c>
      <c r="J56" s="5">
        <v>1</v>
      </c>
    </row>
    <row r="57" spans="1:10" x14ac:dyDescent="0.4">
      <c r="A57" s="7" t="s">
        <v>148</v>
      </c>
      <c r="B57" s="8">
        <v>2.0946256875000002E-3</v>
      </c>
      <c r="C57" s="8">
        <v>1.7498441875000001E-3</v>
      </c>
      <c r="D57" s="8">
        <v>-3.4478149999999969E-4</v>
      </c>
      <c r="E57" s="8">
        <v>9.6899200000000001E-4</v>
      </c>
      <c r="F57" s="8">
        <v>0</v>
      </c>
      <c r="G57" s="8">
        <v>0.5</v>
      </c>
      <c r="H57" s="8">
        <v>0.25</v>
      </c>
      <c r="I57" s="9">
        <v>0.35143768410357368</v>
      </c>
      <c r="J57" s="9">
        <v>0.83759259030930977</v>
      </c>
    </row>
    <row r="58" spans="1:10" x14ac:dyDescent="0.4">
      <c r="A58" s="3" t="s">
        <v>149</v>
      </c>
      <c r="B58" s="4">
        <v>3.4639974375000001E-3</v>
      </c>
      <c r="C58" s="4">
        <v>3.1965448749999991E-3</v>
      </c>
      <c r="D58" s="4">
        <v>-2.6745256250000063E-4</v>
      </c>
      <c r="E58" s="4">
        <v>0</v>
      </c>
      <c r="F58" s="4">
        <v>0</v>
      </c>
      <c r="G58" s="4">
        <v>0.4375</v>
      </c>
      <c r="H58" s="4">
        <v>0.375</v>
      </c>
      <c r="I58" s="5">
        <v>0.81569172876471774</v>
      </c>
      <c r="J58" s="5">
        <v>1</v>
      </c>
    </row>
    <row r="59" spans="1:10" x14ac:dyDescent="0.4">
      <c r="A59" s="7" t="s">
        <v>150</v>
      </c>
      <c r="B59" s="8">
        <v>4.8261321250000003E-3</v>
      </c>
      <c r="C59" s="8">
        <v>4.5871083750000001E-3</v>
      </c>
      <c r="D59" s="8">
        <v>-2.3902375000000011E-4</v>
      </c>
      <c r="E59" s="8">
        <v>0</v>
      </c>
      <c r="F59" s="8">
        <v>0</v>
      </c>
      <c r="G59" s="8">
        <v>0.375</v>
      </c>
      <c r="H59" s="8">
        <v>0.375</v>
      </c>
      <c r="I59" s="9">
        <v>0.98271130085854286</v>
      </c>
      <c r="J59" s="9">
        <v>1</v>
      </c>
    </row>
    <row r="60" spans="1:10" x14ac:dyDescent="0.4">
      <c r="A60" s="3" t="s">
        <v>54</v>
      </c>
      <c r="B60" s="4">
        <v>8.2048640625000009E-3</v>
      </c>
      <c r="C60" s="4">
        <v>8.3875718749999995E-3</v>
      </c>
      <c r="D60" s="4">
        <v>1.8270781249999851E-4</v>
      </c>
      <c r="E60" s="4">
        <v>7.7493520000000001E-3</v>
      </c>
      <c r="F60" s="4">
        <v>1.982466E-3</v>
      </c>
      <c r="G60" s="4">
        <v>0.625</v>
      </c>
      <c r="H60" s="4">
        <v>0.5625</v>
      </c>
      <c r="I60" s="5">
        <v>0.62579106080640035</v>
      </c>
      <c r="J60" s="5">
        <v>1</v>
      </c>
    </row>
    <row r="61" spans="1:10" x14ac:dyDescent="0.4">
      <c r="A61" s="7" t="s">
        <v>151</v>
      </c>
      <c r="B61" s="8">
        <v>1.7311681250000001E-3</v>
      </c>
      <c r="C61" s="8">
        <v>1.5973080624999999E-3</v>
      </c>
      <c r="D61" s="8">
        <v>-1.3386006249999991E-4</v>
      </c>
      <c r="E61" s="8">
        <v>0</v>
      </c>
      <c r="F61" s="8">
        <v>0</v>
      </c>
      <c r="G61" s="8">
        <v>0.3125</v>
      </c>
      <c r="H61" s="8">
        <v>0.375</v>
      </c>
      <c r="I61" s="9">
        <v>0.91144460784835057</v>
      </c>
      <c r="J61" s="9">
        <v>1</v>
      </c>
    </row>
    <row r="62" spans="1:10" x14ac:dyDescent="0.4">
      <c r="A62" s="3" t="s">
        <v>152</v>
      </c>
      <c r="B62" s="4">
        <v>1.3139033499999999E-2</v>
      </c>
      <c r="C62" s="4">
        <v>1.32141391875E-2</v>
      </c>
      <c r="D62" s="4">
        <v>7.5105687500000295E-5</v>
      </c>
      <c r="E62" s="4">
        <v>1.3141486500000001E-2</v>
      </c>
      <c r="F62" s="4">
        <v>1.4048838500000001E-2</v>
      </c>
      <c r="G62" s="4">
        <v>0.8125</v>
      </c>
      <c r="H62" s="4">
        <v>0.625</v>
      </c>
      <c r="I62" s="5">
        <v>0.89388793806516653</v>
      </c>
      <c r="J62" s="5">
        <v>1</v>
      </c>
    </row>
  </sheetData>
  <autoFilter ref="A3:J62" xr:uid="{00000000-0009-0000-0000-000004000000}"/>
  <mergeCells count="2">
    <mergeCell ref="A1:J1"/>
    <mergeCell ref="A2:J2"/>
  </mergeCells>
  <phoneticPr fontId="9" type="noConversion"/>
  <conditionalFormatting sqref="D4:D62">
    <cfRule type="colorScale" priority="1">
      <colorScale>
        <cfvo type="min"/>
        <cfvo type="percentile" val="50"/>
        <cfvo type="max"/>
        <color rgb="FFFCA5A5"/>
        <color rgb="FFFFFFFF"/>
        <color rgb="FF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showGridLines="0" workbookViewId="0">
      <pane ySplit="3" topLeftCell="A4" activePane="bottomLeft" state="frozen"/>
      <selection pane="bottomLeft"/>
    </sheetView>
  </sheetViews>
  <sheetFormatPr defaultRowHeight="17.399999999999999" x14ac:dyDescent="0.4"/>
  <cols>
    <col min="1" max="1" width="11" customWidth="1"/>
    <col min="2" max="2" width="12" customWidth="1"/>
    <col min="3" max="3" width="27" customWidth="1"/>
    <col min="4" max="4" width="13" customWidth="1"/>
    <col min="5" max="5" width="20" customWidth="1"/>
    <col min="6" max="6" width="28" customWidth="1"/>
    <col min="7" max="7" width="22" customWidth="1"/>
  </cols>
  <sheetData>
    <row r="1" spans="1:8" ht="28.05" customHeight="1" x14ac:dyDescent="0.4">
      <c r="A1" s="23" t="s">
        <v>153</v>
      </c>
      <c r="B1" s="22"/>
      <c r="C1" s="22"/>
      <c r="D1" s="22"/>
      <c r="E1" s="22"/>
      <c r="F1" s="22"/>
      <c r="G1" s="22"/>
      <c r="H1" s="22"/>
    </row>
    <row r="2" spans="1:8" ht="34.049999999999997" customHeight="1" x14ac:dyDescent="0.4">
      <c r="A2" s="26" t="s">
        <v>154</v>
      </c>
      <c r="B2" s="22"/>
      <c r="C2" s="22"/>
      <c r="D2" s="22"/>
      <c r="E2" s="22"/>
      <c r="F2" s="22"/>
      <c r="G2" s="22"/>
      <c r="H2" s="22"/>
    </row>
    <row r="3" spans="1:8" ht="31.95" customHeight="1" x14ac:dyDescent="0.4">
      <c r="A3" s="2" t="s">
        <v>155</v>
      </c>
      <c r="B3" s="2" t="s">
        <v>156</v>
      </c>
      <c r="C3" s="2" t="s">
        <v>157</v>
      </c>
      <c r="D3" s="2" t="s">
        <v>158</v>
      </c>
      <c r="E3" s="2" t="s">
        <v>159</v>
      </c>
      <c r="F3" s="2" t="s">
        <v>160</v>
      </c>
      <c r="G3" s="2" t="s">
        <v>161</v>
      </c>
    </row>
    <row r="4" spans="1:8" x14ac:dyDescent="0.4">
      <c r="A4" s="3">
        <v>1</v>
      </c>
      <c r="B4" s="11" t="s">
        <v>162</v>
      </c>
      <c r="C4" s="6">
        <v>41</v>
      </c>
      <c r="D4" s="5">
        <v>3.297278053962799</v>
      </c>
      <c r="E4" s="12">
        <v>27.03894012816064</v>
      </c>
      <c r="F4" s="6" t="s">
        <v>101</v>
      </c>
      <c r="G4" s="4">
        <v>9.0403339999999999E-2</v>
      </c>
    </row>
    <row r="5" spans="1:8" x14ac:dyDescent="0.4">
      <c r="A5" s="7">
        <v>2</v>
      </c>
      <c r="B5" s="11" t="s">
        <v>162</v>
      </c>
      <c r="C5" s="10">
        <v>43</v>
      </c>
      <c r="D5" s="9">
        <v>3.357020974452686</v>
      </c>
      <c r="E5" s="13">
        <v>28.70355476354727</v>
      </c>
      <c r="F5" s="10" t="s">
        <v>109</v>
      </c>
      <c r="G5" s="8">
        <v>0.11654135</v>
      </c>
    </row>
    <row r="6" spans="1:8" x14ac:dyDescent="0.4">
      <c r="A6" s="3">
        <v>3</v>
      </c>
      <c r="B6" s="11" t="s">
        <v>162</v>
      </c>
      <c r="C6" s="6">
        <v>45</v>
      </c>
      <c r="D6" s="5">
        <v>3.2520890789866388</v>
      </c>
      <c r="E6" s="12">
        <v>25.84427429134093</v>
      </c>
      <c r="F6" s="6" t="s">
        <v>103</v>
      </c>
      <c r="G6" s="4">
        <v>0.12528578000000001</v>
      </c>
    </row>
    <row r="7" spans="1:8" x14ac:dyDescent="0.4">
      <c r="A7" s="7">
        <v>4</v>
      </c>
      <c r="B7" s="11" t="s">
        <v>162</v>
      </c>
      <c r="C7" s="10">
        <v>45</v>
      </c>
      <c r="D7" s="9">
        <v>3.2804484632817461</v>
      </c>
      <c r="E7" s="13">
        <v>26.587693630964019</v>
      </c>
      <c r="F7" s="10" t="s">
        <v>103</v>
      </c>
      <c r="G7" s="8">
        <v>0.14777131800000001</v>
      </c>
    </row>
    <row r="8" spans="1:8" x14ac:dyDescent="0.4">
      <c r="A8" s="3">
        <v>5</v>
      </c>
      <c r="B8" s="11" t="s">
        <v>162</v>
      </c>
      <c r="C8" s="6">
        <v>41</v>
      </c>
      <c r="D8" s="5">
        <v>3.39637948572312</v>
      </c>
      <c r="E8" s="12">
        <v>29.85581074515305</v>
      </c>
      <c r="F8" s="6" t="s">
        <v>107</v>
      </c>
      <c r="G8" s="4">
        <v>8.9928060000000004E-2</v>
      </c>
    </row>
    <row r="9" spans="1:8" x14ac:dyDescent="0.4">
      <c r="A9" s="7">
        <v>6</v>
      </c>
      <c r="B9" s="11" t="s">
        <v>162</v>
      </c>
      <c r="C9" s="10">
        <v>19</v>
      </c>
      <c r="D9" s="9">
        <v>2.405088569566717</v>
      </c>
      <c r="E9" s="13">
        <v>11.07941153741046</v>
      </c>
      <c r="F9" s="10" t="s">
        <v>100</v>
      </c>
      <c r="G9" s="8">
        <v>0.25848142200000002</v>
      </c>
    </row>
    <row r="10" spans="1:8" x14ac:dyDescent="0.4">
      <c r="A10" s="3">
        <v>7</v>
      </c>
      <c r="B10" s="11" t="s">
        <v>162</v>
      </c>
      <c r="C10" s="6">
        <v>27</v>
      </c>
      <c r="D10" s="5">
        <v>2.7335947556759161</v>
      </c>
      <c r="E10" s="12">
        <v>15.38810418920564</v>
      </c>
      <c r="F10" s="6" t="s">
        <v>109</v>
      </c>
      <c r="G10" s="4">
        <v>0.24417670999999999</v>
      </c>
    </row>
    <row r="11" spans="1:8" x14ac:dyDescent="0.4">
      <c r="A11" s="7">
        <v>8</v>
      </c>
      <c r="B11" s="11" t="s">
        <v>162</v>
      </c>
      <c r="C11" s="10">
        <v>24</v>
      </c>
      <c r="D11" s="9">
        <v>2.6974549953079019</v>
      </c>
      <c r="E11" s="13">
        <v>14.841910885336871</v>
      </c>
      <c r="F11" s="10" t="s">
        <v>100</v>
      </c>
      <c r="G11" s="8">
        <v>0.205714286</v>
      </c>
    </row>
    <row r="12" spans="1:8" x14ac:dyDescent="0.4">
      <c r="A12" s="3">
        <v>9</v>
      </c>
      <c r="B12" s="11" t="s">
        <v>162</v>
      </c>
      <c r="C12" s="6">
        <v>30</v>
      </c>
      <c r="D12" s="5">
        <v>2.826666787888287</v>
      </c>
      <c r="E12" s="12">
        <v>16.889072039380949</v>
      </c>
      <c r="F12" s="6" t="s">
        <v>103</v>
      </c>
      <c r="G12" s="4">
        <v>0.16103896100000001</v>
      </c>
    </row>
    <row r="13" spans="1:8" x14ac:dyDescent="0.4">
      <c r="A13" s="7">
        <v>10</v>
      </c>
      <c r="B13" s="11" t="s">
        <v>162</v>
      </c>
      <c r="C13" s="10">
        <v>46</v>
      </c>
      <c r="D13" s="9">
        <v>3.4585563559049808</v>
      </c>
      <c r="E13" s="13">
        <v>31.771077263464012</v>
      </c>
      <c r="F13" s="10" t="s">
        <v>101</v>
      </c>
      <c r="G13" s="8">
        <v>9.3354430000000002E-2</v>
      </c>
    </row>
    <row r="14" spans="1:8" x14ac:dyDescent="0.4">
      <c r="A14" s="3">
        <v>11</v>
      </c>
      <c r="B14" s="11" t="s">
        <v>162</v>
      </c>
      <c r="C14" s="6">
        <v>34</v>
      </c>
      <c r="D14" s="5">
        <v>3.1439607299635601</v>
      </c>
      <c r="E14" s="12">
        <v>23.195556495545421</v>
      </c>
      <c r="F14" s="6" t="s">
        <v>109</v>
      </c>
      <c r="G14" s="4">
        <v>0.12942122</v>
      </c>
    </row>
    <row r="15" spans="1:8" x14ac:dyDescent="0.4">
      <c r="A15" s="7">
        <v>12</v>
      </c>
      <c r="B15" s="11" t="s">
        <v>162</v>
      </c>
      <c r="C15" s="10">
        <v>34</v>
      </c>
      <c r="D15" s="9">
        <v>3.2362550941776509</v>
      </c>
      <c r="E15" s="13">
        <v>25.438279187356009</v>
      </c>
      <c r="F15" s="10" t="s">
        <v>107</v>
      </c>
      <c r="G15" s="8">
        <v>9.7097100000000006E-2</v>
      </c>
    </row>
    <row r="16" spans="1:8" x14ac:dyDescent="0.4">
      <c r="A16" s="3">
        <v>13</v>
      </c>
      <c r="B16" s="11" t="s">
        <v>162</v>
      </c>
      <c r="C16" s="6">
        <v>37</v>
      </c>
      <c r="D16" s="5">
        <v>3.2470320888986088</v>
      </c>
      <c r="E16" s="12">
        <v>25.713909955812358</v>
      </c>
      <c r="F16" s="6" t="s">
        <v>103</v>
      </c>
      <c r="G16" s="4">
        <v>0.13360739999999999</v>
      </c>
    </row>
    <row r="17" spans="1:7" x14ac:dyDescent="0.4">
      <c r="A17" s="7">
        <v>14</v>
      </c>
      <c r="B17" s="11" t="s">
        <v>162</v>
      </c>
      <c r="C17" s="10">
        <v>32</v>
      </c>
      <c r="D17" s="9">
        <v>3.112460227434632</v>
      </c>
      <c r="E17" s="13">
        <v>22.47627317911499</v>
      </c>
      <c r="F17" s="10" t="s">
        <v>109</v>
      </c>
      <c r="G17" s="8">
        <v>0.14349776</v>
      </c>
    </row>
    <row r="18" spans="1:7" x14ac:dyDescent="0.4">
      <c r="A18" s="3">
        <v>15</v>
      </c>
      <c r="B18" s="11" t="s">
        <v>162</v>
      </c>
      <c r="C18" s="6">
        <v>26</v>
      </c>
      <c r="D18" s="5">
        <v>3.0000270510300129</v>
      </c>
      <c r="E18" s="12">
        <v>20.086080264998749</v>
      </c>
      <c r="F18" s="6" t="s">
        <v>101</v>
      </c>
      <c r="G18" s="4">
        <v>0.13798450000000001</v>
      </c>
    </row>
    <row r="19" spans="1:7" x14ac:dyDescent="0.4">
      <c r="A19" s="7">
        <v>16</v>
      </c>
      <c r="B19" s="11" t="s">
        <v>162</v>
      </c>
      <c r="C19" s="10">
        <v>37</v>
      </c>
      <c r="D19" s="9">
        <v>3.1214857639456892</v>
      </c>
      <c r="E19" s="13">
        <v>22.680051825812811</v>
      </c>
      <c r="F19" s="10" t="s">
        <v>103</v>
      </c>
      <c r="G19" s="8">
        <v>0.11532951299999999</v>
      </c>
    </row>
    <row r="20" spans="1:7" x14ac:dyDescent="0.4">
      <c r="A20" s="3">
        <v>17</v>
      </c>
      <c r="B20" s="14" t="s">
        <v>163</v>
      </c>
      <c r="C20" s="6">
        <v>28</v>
      </c>
      <c r="D20" s="5">
        <v>2.682130708994519</v>
      </c>
      <c r="E20" s="12">
        <v>14.616203016463309</v>
      </c>
      <c r="F20" s="6" t="s">
        <v>101</v>
      </c>
      <c r="G20" s="4">
        <v>0.33988533999999998</v>
      </c>
    </row>
    <row r="21" spans="1:7" x14ac:dyDescent="0.4">
      <c r="A21" s="7">
        <v>18</v>
      </c>
      <c r="B21" s="14" t="s">
        <v>163</v>
      </c>
      <c r="C21" s="10">
        <v>42</v>
      </c>
      <c r="D21" s="9">
        <v>3.264240053943551</v>
      </c>
      <c r="E21" s="13">
        <v>26.160223076546249</v>
      </c>
      <c r="F21" s="10" t="s">
        <v>103</v>
      </c>
      <c r="G21" s="8">
        <v>0.110504775</v>
      </c>
    </row>
    <row r="22" spans="1:7" x14ac:dyDescent="0.4">
      <c r="A22" s="3">
        <v>19</v>
      </c>
      <c r="B22" s="14" t="s">
        <v>163</v>
      </c>
      <c r="C22" s="6">
        <v>39</v>
      </c>
      <c r="D22" s="5">
        <v>3.263418604457899</v>
      </c>
      <c r="E22" s="12">
        <v>26.138742598527159</v>
      </c>
      <c r="F22" s="6" t="s">
        <v>102</v>
      </c>
      <c r="G22" s="4">
        <v>8.4745760000000003E-2</v>
      </c>
    </row>
    <row r="23" spans="1:7" x14ac:dyDescent="0.4">
      <c r="A23" s="7">
        <v>20</v>
      </c>
      <c r="B23" s="14" t="s">
        <v>163</v>
      </c>
      <c r="C23" s="10">
        <v>34</v>
      </c>
      <c r="D23" s="9">
        <v>3.1420526015485581</v>
      </c>
      <c r="E23" s="13">
        <v>23.151338595226779</v>
      </c>
      <c r="F23" s="10" t="s">
        <v>108</v>
      </c>
      <c r="G23" s="8">
        <v>9.7067744999999997E-2</v>
      </c>
    </row>
    <row r="24" spans="1:7" x14ac:dyDescent="0.4">
      <c r="A24" s="3">
        <v>21</v>
      </c>
      <c r="B24" s="14" t="s">
        <v>163</v>
      </c>
      <c r="C24" s="6">
        <v>39</v>
      </c>
      <c r="D24" s="5">
        <v>3.2313107079803269</v>
      </c>
      <c r="E24" s="12">
        <v>25.312812943246691</v>
      </c>
      <c r="F24" s="6" t="s">
        <v>107</v>
      </c>
      <c r="G24" s="4">
        <v>0.13377926000000001</v>
      </c>
    </row>
    <row r="25" spans="1:7" x14ac:dyDescent="0.4">
      <c r="A25" s="7">
        <v>22</v>
      </c>
      <c r="B25" s="14" t="s">
        <v>163</v>
      </c>
      <c r="C25" s="10">
        <v>40</v>
      </c>
      <c r="D25" s="9">
        <v>3.3729253910630161</v>
      </c>
      <c r="E25" s="13">
        <v>29.163717668148241</v>
      </c>
      <c r="F25" s="10" t="s">
        <v>101</v>
      </c>
      <c r="G25" s="8">
        <v>9.8098859999999996E-2</v>
      </c>
    </row>
    <row r="26" spans="1:7" x14ac:dyDescent="0.4">
      <c r="A26" s="3">
        <v>23</v>
      </c>
      <c r="B26" s="14" t="s">
        <v>163</v>
      </c>
      <c r="C26" s="6">
        <v>43</v>
      </c>
      <c r="D26" s="5">
        <v>3.2777682795102629</v>
      </c>
      <c r="E26" s="12">
        <v>26.516529135536199</v>
      </c>
      <c r="F26" s="6" t="s">
        <v>103</v>
      </c>
      <c r="G26" s="4">
        <v>9.1451292000000003E-2</v>
      </c>
    </row>
    <row r="27" spans="1:7" x14ac:dyDescent="0.4">
      <c r="A27" s="7">
        <v>24</v>
      </c>
      <c r="B27" s="14" t="s">
        <v>163</v>
      </c>
      <c r="C27" s="10">
        <v>38</v>
      </c>
      <c r="D27" s="9">
        <v>3.152515064401828</v>
      </c>
      <c r="E27" s="13">
        <v>23.394830154873489</v>
      </c>
      <c r="F27" s="10" t="s">
        <v>101</v>
      </c>
      <c r="G27" s="8">
        <v>0.13873874</v>
      </c>
    </row>
    <row r="28" spans="1:7" x14ac:dyDescent="0.4">
      <c r="A28" s="3">
        <v>25</v>
      </c>
      <c r="B28" s="14" t="s">
        <v>163</v>
      </c>
      <c r="C28" s="6">
        <v>27</v>
      </c>
      <c r="D28" s="5">
        <v>2.593199421674941</v>
      </c>
      <c r="E28" s="12">
        <v>13.37248745996637</v>
      </c>
      <c r="F28" s="6" t="s">
        <v>101</v>
      </c>
      <c r="G28" s="4">
        <v>0.29828325999999999</v>
      </c>
    </row>
    <row r="29" spans="1:7" x14ac:dyDescent="0.4">
      <c r="A29" s="7">
        <v>26</v>
      </c>
      <c r="B29" s="14" t="s">
        <v>163</v>
      </c>
      <c r="C29" s="10">
        <v>33</v>
      </c>
      <c r="D29" s="9">
        <v>2.9547598253210832</v>
      </c>
      <c r="E29" s="13">
        <v>19.197111506014839</v>
      </c>
      <c r="F29" s="10" t="s">
        <v>101</v>
      </c>
      <c r="G29" s="8">
        <v>0.23069766999999999</v>
      </c>
    </row>
    <row r="30" spans="1:7" x14ac:dyDescent="0.4">
      <c r="A30" s="3">
        <v>27</v>
      </c>
      <c r="B30" s="14" t="s">
        <v>163</v>
      </c>
      <c r="C30" s="6">
        <v>20</v>
      </c>
      <c r="D30" s="5">
        <v>2.7093834994539572</v>
      </c>
      <c r="E30" s="12">
        <v>15.020012813837351</v>
      </c>
      <c r="F30" s="6" t="s">
        <v>101</v>
      </c>
      <c r="G30" s="4">
        <v>0.16489361999999999</v>
      </c>
    </row>
    <row r="31" spans="1:7" x14ac:dyDescent="0.4">
      <c r="A31" s="7">
        <v>28</v>
      </c>
      <c r="B31" s="14" t="s">
        <v>163</v>
      </c>
      <c r="C31" s="10">
        <v>34</v>
      </c>
      <c r="D31" s="9">
        <v>3.204929118225234</v>
      </c>
      <c r="E31" s="13">
        <v>24.65375245279327</v>
      </c>
      <c r="F31" s="10" t="s">
        <v>118</v>
      </c>
      <c r="G31" s="8">
        <v>9.3240092999999996E-2</v>
      </c>
    </row>
    <row r="32" spans="1:7" x14ac:dyDescent="0.4">
      <c r="A32" s="3">
        <v>29</v>
      </c>
      <c r="B32" s="14" t="s">
        <v>163</v>
      </c>
      <c r="C32" s="6">
        <v>26</v>
      </c>
      <c r="D32" s="5">
        <v>2.891871661466856</v>
      </c>
      <c r="E32" s="12">
        <v>18.027018521795782</v>
      </c>
      <c r="F32" s="6" t="s">
        <v>109</v>
      </c>
      <c r="G32" s="4">
        <v>0.13696612999999999</v>
      </c>
    </row>
    <row r="33" spans="1:7" x14ac:dyDescent="0.4">
      <c r="A33" s="7">
        <v>30</v>
      </c>
      <c r="B33" s="14" t="s">
        <v>163</v>
      </c>
      <c r="C33" s="10">
        <v>3</v>
      </c>
      <c r="D33" s="9">
        <v>0.52475386387377299</v>
      </c>
      <c r="E33" s="13">
        <v>1.6900428165889321</v>
      </c>
      <c r="F33" s="10" t="s">
        <v>99</v>
      </c>
      <c r="G33" s="8">
        <v>0.79596977300000005</v>
      </c>
    </row>
    <row r="34" spans="1:7" x14ac:dyDescent="0.4">
      <c r="A34" s="3">
        <v>31</v>
      </c>
      <c r="B34" s="14" t="s">
        <v>163</v>
      </c>
      <c r="C34" s="6">
        <v>38</v>
      </c>
      <c r="D34" s="5">
        <v>3.3187240069419079</v>
      </c>
      <c r="E34" s="12">
        <v>27.625078651359729</v>
      </c>
      <c r="F34" s="6" t="s">
        <v>103</v>
      </c>
      <c r="G34" s="4">
        <v>0.118271418</v>
      </c>
    </row>
    <row r="35" spans="1:7" x14ac:dyDescent="0.4">
      <c r="A35" s="7">
        <v>32</v>
      </c>
      <c r="B35" s="14" t="s">
        <v>163</v>
      </c>
      <c r="C35" s="10">
        <v>35</v>
      </c>
      <c r="D35" s="9">
        <v>3.1995071500834409</v>
      </c>
      <c r="E35" s="13">
        <v>24.520442320647859</v>
      </c>
      <c r="F35" s="10" t="s">
        <v>107</v>
      </c>
      <c r="G35" s="8">
        <v>9.0646089999999999E-2</v>
      </c>
    </row>
  </sheetData>
  <autoFilter ref="A3:G35" xr:uid="{00000000-0009-0000-0000-000005000000}"/>
  <mergeCells count="2">
    <mergeCell ref="A2:H2"/>
    <mergeCell ref="A1:H1"/>
  </mergeCells>
  <phoneticPr fontId="9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showGridLines="0" workbookViewId="0"/>
  </sheetViews>
  <sheetFormatPr defaultRowHeight="17.399999999999999" x14ac:dyDescent="0.4"/>
  <cols>
    <col min="1" max="1" width="11" customWidth="1"/>
    <col min="2" max="2" width="13" customWidth="1"/>
    <col min="3" max="4" width="14" customWidth="1"/>
    <col min="5" max="6" width="3" customWidth="1"/>
  </cols>
  <sheetData>
    <row r="1" spans="1:6" ht="28.05" customHeight="1" x14ac:dyDescent="0.4">
      <c r="A1" s="23" t="s">
        <v>164</v>
      </c>
      <c r="B1" s="22"/>
      <c r="C1" s="22"/>
      <c r="D1" s="22"/>
      <c r="E1" s="22"/>
      <c r="F1" s="22"/>
    </row>
    <row r="2" spans="1:6" ht="34.049999999999997" customHeight="1" x14ac:dyDescent="0.4">
      <c r="A2" s="26" t="s">
        <v>165</v>
      </c>
      <c r="B2" s="22"/>
      <c r="C2" s="22"/>
      <c r="D2" s="22"/>
      <c r="E2" s="22"/>
      <c r="F2" s="22"/>
    </row>
    <row r="3" spans="1:6" ht="31.95" customHeight="1" x14ac:dyDescent="0.4">
      <c r="A3" s="2" t="s">
        <v>155</v>
      </c>
      <c r="B3" s="2" t="s">
        <v>156</v>
      </c>
      <c r="C3" s="2" t="s">
        <v>166</v>
      </c>
      <c r="D3" s="2" t="s">
        <v>167</v>
      </c>
    </row>
    <row r="4" spans="1:6" x14ac:dyDescent="0.4">
      <c r="A4" s="3">
        <v>1</v>
      </c>
      <c r="B4" s="6" t="s">
        <v>162</v>
      </c>
      <c r="C4" s="15">
        <v>-3.8856567741402559E-2</v>
      </c>
      <c r="D4" s="15">
        <v>3.501101906410127E-2</v>
      </c>
    </row>
    <row r="5" spans="1:6" x14ac:dyDescent="0.4">
      <c r="A5" s="7">
        <v>2</v>
      </c>
      <c r="B5" s="11" t="s">
        <v>162</v>
      </c>
      <c r="C5" s="16">
        <v>-8.2934283815501303E-2</v>
      </c>
      <c r="D5" s="16">
        <v>3.9148069394502147E-2</v>
      </c>
    </row>
    <row r="6" spans="1:6" x14ac:dyDescent="0.4">
      <c r="A6" s="3">
        <v>3</v>
      </c>
      <c r="B6" s="6" t="s">
        <v>162</v>
      </c>
      <c r="C6" s="15">
        <v>2.5905410612775601E-2</v>
      </c>
      <c r="D6" s="15">
        <v>0.15368604025466101</v>
      </c>
    </row>
    <row r="7" spans="1:6" x14ac:dyDescent="0.4">
      <c r="A7" s="7">
        <v>4</v>
      </c>
      <c r="B7" s="11" t="s">
        <v>162</v>
      </c>
      <c r="C7" s="16">
        <v>-9.1751554370425772E-2</v>
      </c>
      <c r="D7" s="16">
        <v>7.8931232163610476E-2</v>
      </c>
    </row>
    <row r="8" spans="1:6" x14ac:dyDescent="0.4">
      <c r="A8" s="3">
        <v>5</v>
      </c>
      <c r="B8" s="6" t="s">
        <v>162</v>
      </c>
      <c r="C8" s="15">
        <v>-7.8828543767174686E-2</v>
      </c>
      <c r="D8" s="15">
        <v>2.813399380882137E-2</v>
      </c>
    </row>
    <row r="9" spans="1:6" x14ac:dyDescent="0.4">
      <c r="A9" s="7">
        <v>6</v>
      </c>
      <c r="B9" s="11" t="s">
        <v>162</v>
      </c>
      <c r="C9" s="16">
        <v>2.5414389180149391E-2</v>
      </c>
      <c r="D9" s="16">
        <v>-0.27823794941342173</v>
      </c>
    </row>
    <row r="10" spans="1:6" x14ac:dyDescent="0.4">
      <c r="A10" s="3">
        <v>7</v>
      </c>
      <c r="B10" s="6" t="s">
        <v>162</v>
      </c>
      <c r="C10" s="15">
        <v>-0.16029607099914109</v>
      </c>
      <c r="D10" s="15">
        <v>-0.1582003368733863</v>
      </c>
    </row>
    <row r="11" spans="1:6" x14ac:dyDescent="0.4">
      <c r="A11" s="7">
        <v>8</v>
      </c>
      <c r="B11" s="11" t="s">
        <v>162</v>
      </c>
      <c r="C11" s="16">
        <v>0.15242590533636469</v>
      </c>
      <c r="D11" s="16">
        <v>2.7292096462280171E-2</v>
      </c>
    </row>
    <row r="12" spans="1:6" x14ac:dyDescent="0.4">
      <c r="A12" s="3">
        <v>9</v>
      </c>
      <c r="B12" s="6" t="s">
        <v>162</v>
      </c>
      <c r="C12" s="15">
        <v>-8.0019813994570949E-2</v>
      </c>
      <c r="D12" s="15">
        <v>-3.4457144436627562E-3</v>
      </c>
    </row>
    <row r="13" spans="1:6" x14ac:dyDescent="0.4">
      <c r="A13" s="7">
        <v>10</v>
      </c>
      <c r="B13" s="11" t="s">
        <v>162</v>
      </c>
      <c r="C13" s="16">
        <v>-3.7379121144619641E-3</v>
      </c>
      <c r="D13" s="16">
        <v>9.0946592428555156E-2</v>
      </c>
    </row>
    <row r="14" spans="1:6" x14ac:dyDescent="0.4">
      <c r="A14" s="3">
        <v>11</v>
      </c>
      <c r="B14" s="6" t="s">
        <v>162</v>
      </c>
      <c r="C14" s="15">
        <v>-0.21165792081540011</v>
      </c>
      <c r="D14" s="15">
        <v>-4.5499468734448642E-2</v>
      </c>
    </row>
    <row r="15" spans="1:6" x14ac:dyDescent="0.4">
      <c r="A15" s="7">
        <v>12</v>
      </c>
      <c r="B15" s="11" t="s">
        <v>162</v>
      </c>
      <c r="C15" s="16">
        <v>-9.1093825485014171E-2</v>
      </c>
      <c r="D15" s="16">
        <v>-5.206033526446322E-3</v>
      </c>
    </row>
    <row r="16" spans="1:6" x14ac:dyDescent="0.4">
      <c r="A16" s="3">
        <v>13</v>
      </c>
      <c r="B16" s="6" t="s">
        <v>162</v>
      </c>
      <c r="C16" s="15">
        <v>-7.6981130961422964E-2</v>
      </c>
      <c r="D16" s="15">
        <v>1.186237129098551E-2</v>
      </c>
    </row>
    <row r="17" spans="1:4" x14ac:dyDescent="0.4">
      <c r="A17" s="7">
        <v>14</v>
      </c>
      <c r="B17" s="11" t="s">
        <v>162</v>
      </c>
      <c r="C17" s="16">
        <v>-7.5688446510704777E-2</v>
      </c>
      <c r="D17" s="16">
        <v>2.8347731820341459E-2</v>
      </c>
    </row>
    <row r="18" spans="1:4" x14ac:dyDescent="0.4">
      <c r="A18" s="3">
        <v>15</v>
      </c>
      <c r="B18" s="6" t="s">
        <v>162</v>
      </c>
      <c r="C18" s="15">
        <v>0.2083322046080647</v>
      </c>
      <c r="D18" s="15">
        <v>9.4797868353870274E-2</v>
      </c>
    </row>
    <row r="19" spans="1:4" x14ac:dyDescent="0.4">
      <c r="A19" s="7">
        <v>16</v>
      </c>
      <c r="B19" s="11" t="s">
        <v>162</v>
      </c>
      <c r="C19" s="16">
        <v>-0.15141551373451101</v>
      </c>
      <c r="D19" s="16">
        <v>1.666867559738602E-2</v>
      </c>
    </row>
    <row r="20" spans="1:4" x14ac:dyDescent="0.4">
      <c r="A20" s="3">
        <v>17</v>
      </c>
      <c r="B20" s="6" t="s">
        <v>163</v>
      </c>
      <c r="C20" s="15">
        <v>0.38781859341069141</v>
      </c>
      <c r="D20" s="15">
        <v>0.1829350138328405</v>
      </c>
    </row>
    <row r="21" spans="1:4" x14ac:dyDescent="0.4">
      <c r="A21" s="7">
        <v>18</v>
      </c>
      <c r="B21" s="14" t="s">
        <v>163</v>
      </c>
      <c r="C21" s="16">
        <v>-0.18742725422078929</v>
      </c>
      <c r="D21" s="16">
        <v>4.6294011478547536E-3</v>
      </c>
    </row>
    <row r="22" spans="1:4" x14ac:dyDescent="0.4">
      <c r="A22" s="3">
        <v>19</v>
      </c>
      <c r="B22" s="6" t="s">
        <v>163</v>
      </c>
      <c r="C22" s="15">
        <v>-0.21295009809422619</v>
      </c>
      <c r="D22" s="15">
        <v>-6.3501882026219647E-2</v>
      </c>
    </row>
    <row r="23" spans="1:4" x14ac:dyDescent="0.4">
      <c r="A23" s="7">
        <v>20</v>
      </c>
      <c r="B23" s="14" t="s">
        <v>163</v>
      </c>
      <c r="C23" s="16">
        <v>-0.12989766329164029</v>
      </c>
      <c r="D23" s="16">
        <v>-3.8834744868490992E-2</v>
      </c>
    </row>
    <row r="24" spans="1:4" x14ac:dyDescent="0.4">
      <c r="A24" s="3">
        <v>21</v>
      </c>
      <c r="B24" s="6" t="s">
        <v>163</v>
      </c>
      <c r="C24" s="15">
        <v>-7.9955887579289259E-2</v>
      </c>
      <c r="D24" s="15">
        <v>6.3536395762243916E-2</v>
      </c>
    </row>
    <row r="25" spans="1:4" x14ac:dyDescent="0.4">
      <c r="A25" s="7">
        <v>22</v>
      </c>
      <c r="B25" s="14" t="s">
        <v>163</v>
      </c>
      <c r="C25" s="16">
        <v>-1.645248001646105E-2</v>
      </c>
      <c r="D25" s="16">
        <v>0.11683650573774181</v>
      </c>
    </row>
    <row r="26" spans="1:4" x14ac:dyDescent="0.4">
      <c r="A26" s="3">
        <v>23</v>
      </c>
      <c r="B26" s="6" t="s">
        <v>163</v>
      </c>
      <c r="C26" s="15">
        <v>-0.13253804359607091</v>
      </c>
      <c r="D26" s="15">
        <v>3.5135616196187901E-2</v>
      </c>
    </row>
    <row r="27" spans="1:4" x14ac:dyDescent="0.4">
      <c r="A27" s="7">
        <v>24</v>
      </c>
      <c r="B27" s="14" t="s">
        <v>163</v>
      </c>
      <c r="C27" s="16">
        <v>0.16470403050708701</v>
      </c>
      <c r="D27" s="16">
        <v>0.16352942776496859</v>
      </c>
    </row>
    <row r="28" spans="1:4" x14ac:dyDescent="0.4">
      <c r="A28" s="3">
        <v>25</v>
      </c>
      <c r="B28" s="6" t="s">
        <v>163</v>
      </c>
      <c r="C28" s="15">
        <v>0.39500812913824962</v>
      </c>
      <c r="D28" s="15">
        <v>0.21675428952707729</v>
      </c>
    </row>
    <row r="29" spans="1:4" x14ac:dyDescent="0.4">
      <c r="A29" s="7">
        <v>26</v>
      </c>
      <c r="B29" s="14" t="s">
        <v>163</v>
      </c>
      <c r="C29" s="16">
        <v>0.26911182995014959</v>
      </c>
      <c r="D29" s="16">
        <v>0.20908154322528971</v>
      </c>
    </row>
    <row r="30" spans="1:4" x14ac:dyDescent="0.4">
      <c r="A30" s="3">
        <v>27</v>
      </c>
      <c r="B30" s="6" t="s">
        <v>163</v>
      </c>
      <c r="C30" s="15">
        <v>0.35346987467952062</v>
      </c>
      <c r="D30" s="15">
        <v>-3.5025636394867263E-2</v>
      </c>
    </row>
    <row r="31" spans="1:4" x14ac:dyDescent="0.4">
      <c r="A31" s="7">
        <v>28</v>
      </c>
      <c r="B31" s="14" t="s">
        <v>163</v>
      </c>
      <c r="C31" s="16">
        <v>-0.1019885047215585</v>
      </c>
      <c r="D31" s="16">
        <v>-7.4802815133392889E-2</v>
      </c>
    </row>
    <row r="32" spans="1:4" x14ac:dyDescent="0.4">
      <c r="A32" s="3">
        <v>29</v>
      </c>
      <c r="B32" s="6" t="s">
        <v>163</v>
      </c>
      <c r="C32" s="15">
        <v>-0.19255095039256701</v>
      </c>
      <c r="D32" s="15">
        <v>-0.1751126136056611</v>
      </c>
    </row>
    <row r="33" spans="1:4" x14ac:dyDescent="0.4">
      <c r="A33" s="7">
        <v>30</v>
      </c>
      <c r="B33" s="14" t="s">
        <v>163</v>
      </c>
      <c r="C33" s="16">
        <v>0.43594002096095569</v>
      </c>
      <c r="D33" s="16">
        <v>-0.71699811564600058</v>
      </c>
    </row>
    <row r="34" spans="1:4" x14ac:dyDescent="0.4">
      <c r="A34" s="3">
        <v>31</v>
      </c>
      <c r="B34" s="6" t="s">
        <v>163</v>
      </c>
      <c r="C34" s="15">
        <v>-9.6526028237522196E-2</v>
      </c>
      <c r="D34" s="15">
        <v>3.30622920910855E-2</v>
      </c>
    </row>
    <row r="35" spans="1:4" x14ac:dyDescent="0.4">
      <c r="A35" s="7">
        <v>32</v>
      </c>
      <c r="B35" s="14" t="s">
        <v>163</v>
      </c>
      <c r="C35" s="16">
        <v>-0.1245818939241513</v>
      </c>
      <c r="D35" s="16">
        <v>-3.5460865258406749E-2</v>
      </c>
    </row>
  </sheetData>
  <mergeCells count="2">
    <mergeCell ref="A2:F2"/>
    <mergeCell ref="A1:F1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showGridLines="0" workbookViewId="0"/>
  </sheetViews>
  <sheetFormatPr defaultRowHeight="17.399999999999999" x14ac:dyDescent="0.4"/>
  <cols>
    <col min="1" max="1" width="18" customWidth="1"/>
    <col min="2" max="2" width="105" customWidth="1"/>
  </cols>
  <sheetData>
    <row r="1" spans="1:4" ht="28.05" customHeight="1" x14ac:dyDescent="0.4">
      <c r="A1" s="23" t="s">
        <v>168</v>
      </c>
      <c r="B1" s="22"/>
      <c r="C1" s="22"/>
      <c r="D1" s="22"/>
    </row>
    <row r="2" spans="1:4" ht="34.049999999999997" customHeight="1" x14ac:dyDescent="0.4">
      <c r="A2" s="26" t="s">
        <v>169</v>
      </c>
      <c r="B2" s="22"/>
      <c r="C2" s="22"/>
      <c r="D2" s="22"/>
    </row>
    <row r="4" spans="1:4" ht="31.95" customHeight="1" x14ac:dyDescent="0.4">
      <c r="A4" s="2" t="s">
        <v>170</v>
      </c>
      <c r="B4" s="2" t="s">
        <v>171</v>
      </c>
    </row>
    <row r="5" spans="1:4" ht="34.950000000000003" customHeight="1" x14ac:dyDescent="0.4">
      <c r="A5" s="7" t="s">
        <v>172</v>
      </c>
      <c r="B5" s="17" t="s">
        <v>173</v>
      </c>
    </row>
    <row r="6" spans="1:4" ht="34.950000000000003" customHeight="1" x14ac:dyDescent="0.4">
      <c r="A6" s="3" t="s">
        <v>174</v>
      </c>
      <c r="B6" s="18" t="s">
        <v>175</v>
      </c>
    </row>
    <row r="7" spans="1:4" ht="34.950000000000003" customHeight="1" x14ac:dyDescent="0.4">
      <c r="A7" s="7" t="s">
        <v>176</v>
      </c>
      <c r="B7" s="17" t="s">
        <v>177</v>
      </c>
    </row>
    <row r="8" spans="1:4" ht="34.950000000000003" customHeight="1" x14ac:dyDescent="0.4">
      <c r="A8" s="3" t="s">
        <v>178</v>
      </c>
      <c r="B8" s="18" t="s">
        <v>179</v>
      </c>
    </row>
    <row r="9" spans="1:4" ht="34.950000000000003" customHeight="1" x14ac:dyDescent="0.4">
      <c r="A9" s="7" t="s">
        <v>180</v>
      </c>
      <c r="B9" s="17" t="s">
        <v>181</v>
      </c>
    </row>
    <row r="10" spans="1:4" ht="34.950000000000003" customHeight="1" x14ac:dyDescent="0.4">
      <c r="A10" s="3" t="s">
        <v>182</v>
      </c>
      <c r="B10" s="18" t="s">
        <v>183</v>
      </c>
    </row>
    <row r="11" spans="1:4" ht="34.950000000000003" customHeight="1" x14ac:dyDescent="0.4">
      <c r="A11" s="7" t="s">
        <v>184</v>
      </c>
      <c r="B11" s="17" t="s">
        <v>185</v>
      </c>
    </row>
    <row r="12" spans="1:4" ht="34.950000000000003" customHeight="1" x14ac:dyDescent="0.4">
      <c r="A12" s="3" t="s">
        <v>186</v>
      </c>
      <c r="B12" s="18" t="s">
        <v>187</v>
      </c>
    </row>
  </sheetData>
  <mergeCells count="2">
    <mergeCell ref="A1:D1"/>
    <mergeCell ref="A2:D2"/>
  </mergeCells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18" width="11" customWidth="1"/>
  </cols>
  <sheetData>
    <row r="1" spans="1:18" ht="28.05" customHeight="1" x14ac:dyDescent="0.4">
      <c r="A1" s="23" t="s">
        <v>188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4.049999999999997" customHeight="1" x14ac:dyDescent="0.4">
      <c r="A2" s="26" t="s">
        <v>189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1.95" customHeight="1" x14ac:dyDescent="0.4">
      <c r="A3" s="19" t="s">
        <v>190</v>
      </c>
      <c r="B3" s="19" t="s">
        <v>191</v>
      </c>
      <c r="C3" s="19" t="s">
        <v>192</v>
      </c>
      <c r="D3" s="19" t="s">
        <v>193</v>
      </c>
      <c r="E3" s="19" t="s">
        <v>194</v>
      </c>
      <c r="F3" s="19" t="s">
        <v>195</v>
      </c>
      <c r="G3" s="19" t="s">
        <v>196</v>
      </c>
      <c r="H3" s="19" t="s">
        <v>197</v>
      </c>
      <c r="I3" s="19" t="s">
        <v>198</v>
      </c>
      <c r="J3" s="19" t="s">
        <v>199</v>
      </c>
      <c r="K3" s="19" t="s">
        <v>200</v>
      </c>
      <c r="L3" s="19" t="s">
        <v>201</v>
      </c>
      <c r="M3" s="19" t="s">
        <v>202</v>
      </c>
      <c r="N3" s="19" t="s">
        <v>203</v>
      </c>
      <c r="O3" s="19" t="s">
        <v>204</v>
      </c>
      <c r="P3" s="19" t="s">
        <v>205</v>
      </c>
      <c r="Q3" s="19" t="s">
        <v>206</v>
      </c>
      <c r="R3" s="19" t="s">
        <v>207</v>
      </c>
    </row>
    <row r="4" spans="1:18" x14ac:dyDescent="0.4">
      <c r="A4" s="3" t="s">
        <v>19</v>
      </c>
      <c r="B4" s="4">
        <v>1.8544270000000001E-3</v>
      </c>
      <c r="C4" s="4">
        <v>1.8170426E-2</v>
      </c>
      <c r="D4" s="4">
        <v>2.8806584E-2</v>
      </c>
      <c r="E4" s="4">
        <v>9.2054259999999992E-3</v>
      </c>
      <c r="F4" s="4">
        <v>1.2230216E-2</v>
      </c>
      <c r="G4" s="4">
        <v>6.9466881999999994E-2</v>
      </c>
      <c r="H4" s="4">
        <v>5.8634538E-2</v>
      </c>
      <c r="I4" s="4">
        <v>2.2857143E-2</v>
      </c>
      <c r="J4" s="4">
        <v>7.5324674999999994E-2</v>
      </c>
      <c r="K4" s="4">
        <v>3.0854429999999999E-2</v>
      </c>
      <c r="L4" s="4">
        <v>2.5723473E-2</v>
      </c>
      <c r="M4" s="4">
        <v>4.8048048000000003E-2</v>
      </c>
      <c r="N4" s="4">
        <v>3.3915725000000001E-2</v>
      </c>
      <c r="O4" s="4">
        <v>4.4843050000000001E-3</v>
      </c>
      <c r="P4" s="4">
        <v>6.2015500000000001E-3</v>
      </c>
      <c r="Q4" s="4">
        <v>1.2893982999999999E-2</v>
      </c>
      <c r="R4" s="4">
        <f t="shared" ref="R4:R15" si="0">AVERAGE(B4:Q4)</f>
        <v>2.8666989437499998E-2</v>
      </c>
    </row>
    <row r="5" spans="1:18" x14ac:dyDescent="0.4">
      <c r="A5" s="7" t="s">
        <v>12</v>
      </c>
      <c r="B5" s="8">
        <v>0.53500230000000004</v>
      </c>
      <c r="C5" s="8">
        <v>0.55889719999999998</v>
      </c>
      <c r="D5" s="8">
        <v>0.613626</v>
      </c>
      <c r="E5" s="8">
        <v>0.69089149999999999</v>
      </c>
      <c r="F5" s="8">
        <v>0.52446040000000005</v>
      </c>
      <c r="G5" s="8">
        <v>0.19709209999999999</v>
      </c>
      <c r="H5" s="8">
        <v>0.56385540000000001</v>
      </c>
      <c r="I5" s="8">
        <v>0.36</v>
      </c>
      <c r="J5" s="8">
        <v>0.62727270000000002</v>
      </c>
      <c r="K5" s="8">
        <v>0.52848099999999998</v>
      </c>
      <c r="L5" s="8">
        <v>0.69855310000000004</v>
      </c>
      <c r="M5" s="8">
        <v>0.60960959999999997</v>
      </c>
      <c r="N5" s="8">
        <v>0.65878729999999996</v>
      </c>
      <c r="O5" s="8">
        <v>0.60269059999999997</v>
      </c>
      <c r="P5" s="8">
        <v>0.57209299999999996</v>
      </c>
      <c r="Q5" s="8">
        <v>0.70702010000000004</v>
      </c>
      <c r="R5" s="8">
        <f t="shared" si="0"/>
        <v>0.56552076875000001</v>
      </c>
    </row>
    <row r="6" spans="1:18" x14ac:dyDescent="0.4">
      <c r="A6" s="3" t="s">
        <v>22</v>
      </c>
      <c r="B6" s="4">
        <v>1.0662958E-2</v>
      </c>
      <c r="C6" s="4">
        <v>1.8796991999999998E-2</v>
      </c>
      <c r="D6" s="4">
        <v>1.3260174E-2</v>
      </c>
      <c r="E6" s="4">
        <v>9.2054259999999992E-3</v>
      </c>
      <c r="F6" s="4">
        <v>4.5323741000000001E-2</v>
      </c>
      <c r="G6" s="4">
        <v>0</v>
      </c>
      <c r="H6" s="4">
        <v>0</v>
      </c>
      <c r="I6" s="4">
        <v>0</v>
      </c>
      <c r="J6" s="4">
        <v>8.441558E-3</v>
      </c>
      <c r="K6" s="4">
        <v>2.6898734000000001E-2</v>
      </c>
      <c r="L6" s="4">
        <v>0</v>
      </c>
      <c r="M6" s="4">
        <v>1.3013013E-2</v>
      </c>
      <c r="N6" s="4">
        <v>0</v>
      </c>
      <c r="O6" s="4">
        <v>0</v>
      </c>
      <c r="P6" s="4">
        <v>0</v>
      </c>
      <c r="Q6" s="4">
        <v>0</v>
      </c>
      <c r="R6" s="4">
        <f t="shared" si="0"/>
        <v>9.10016225E-3</v>
      </c>
    </row>
    <row r="7" spans="1:18" x14ac:dyDescent="0.4">
      <c r="A7" s="7" t="s">
        <v>21</v>
      </c>
      <c r="B7" s="8">
        <v>8.3449240000000001E-3</v>
      </c>
      <c r="C7" s="8">
        <v>9.3984959999999992E-3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1.5238095E-2</v>
      </c>
      <c r="J7" s="8">
        <v>0</v>
      </c>
      <c r="K7" s="8">
        <v>5.5379749999999997E-3</v>
      </c>
      <c r="L7" s="8">
        <v>0</v>
      </c>
      <c r="M7" s="8">
        <v>6.0060060000000004E-3</v>
      </c>
      <c r="N7" s="8">
        <v>0</v>
      </c>
      <c r="O7" s="8">
        <v>0</v>
      </c>
      <c r="P7" s="8">
        <v>0</v>
      </c>
      <c r="Q7" s="8">
        <v>2.865330000000001E-3</v>
      </c>
      <c r="R7" s="8">
        <f t="shared" si="0"/>
        <v>2.9619266250000002E-3</v>
      </c>
    </row>
    <row r="8" spans="1:18" x14ac:dyDescent="0.4">
      <c r="A8" s="3" t="s">
        <v>15</v>
      </c>
      <c r="B8" s="4">
        <v>0</v>
      </c>
      <c r="C8" s="4">
        <v>0</v>
      </c>
      <c r="D8" s="4">
        <v>3.657979E-3</v>
      </c>
      <c r="E8" s="4">
        <v>1.3565891E-2</v>
      </c>
      <c r="F8" s="4">
        <v>2.0863309E-2</v>
      </c>
      <c r="G8" s="4">
        <v>5.9773829000000001E-2</v>
      </c>
      <c r="H8" s="4">
        <v>0</v>
      </c>
      <c r="I8" s="4">
        <v>0</v>
      </c>
      <c r="J8" s="4">
        <v>4.5454550000000003E-3</v>
      </c>
      <c r="K8" s="4">
        <v>2.7689873E-2</v>
      </c>
      <c r="L8" s="4">
        <v>0</v>
      </c>
      <c r="M8" s="4">
        <v>4.5045044999999999E-2</v>
      </c>
      <c r="N8" s="4">
        <v>3.6998971999999998E-2</v>
      </c>
      <c r="O8" s="4">
        <v>1.0762331999999999E-2</v>
      </c>
      <c r="P8" s="4">
        <v>2.3255814E-2</v>
      </c>
      <c r="Q8" s="4">
        <v>4.2979940000000003E-3</v>
      </c>
      <c r="R8" s="4">
        <f t="shared" si="0"/>
        <v>1.56535308125E-2</v>
      </c>
    </row>
    <row r="9" spans="1:18" x14ac:dyDescent="0.4">
      <c r="A9" s="7" t="s">
        <v>16</v>
      </c>
      <c r="B9" s="8">
        <v>3.7088548999999998E-2</v>
      </c>
      <c r="C9" s="8">
        <v>2.5689223000000001E-2</v>
      </c>
      <c r="D9" s="8">
        <v>5.0754458000000002E-2</v>
      </c>
      <c r="E9" s="8">
        <v>2.6162791000000001E-2</v>
      </c>
      <c r="F9" s="8">
        <v>1.5107914E-2</v>
      </c>
      <c r="G9" s="8">
        <v>0.25848142200000002</v>
      </c>
      <c r="H9" s="8">
        <v>4.3373493999999999E-2</v>
      </c>
      <c r="I9" s="8">
        <v>0.205714286</v>
      </c>
      <c r="J9" s="8">
        <v>6.2337662000000002E-2</v>
      </c>
      <c r="K9" s="8">
        <v>2.4525315999999998E-2</v>
      </c>
      <c r="L9" s="8">
        <v>3.1350481999999999E-2</v>
      </c>
      <c r="M9" s="8">
        <v>2.5025024999999999E-2</v>
      </c>
      <c r="N9" s="8">
        <v>3.8026720999999999E-2</v>
      </c>
      <c r="O9" s="8">
        <v>3.9461883000000003E-2</v>
      </c>
      <c r="P9" s="8">
        <v>6.5116278999999999E-2</v>
      </c>
      <c r="Q9" s="8">
        <v>3.4383954000000001E-2</v>
      </c>
      <c r="R9" s="8">
        <f t="shared" si="0"/>
        <v>6.1412466187500007E-2</v>
      </c>
    </row>
    <row r="10" spans="1:18" x14ac:dyDescent="0.4">
      <c r="A10" s="3" t="s">
        <v>18</v>
      </c>
      <c r="B10" s="4">
        <v>2.0862308999999999E-2</v>
      </c>
      <c r="C10" s="4">
        <v>2.2556390999999999E-2</v>
      </c>
      <c r="D10" s="4">
        <v>1.4174668E-2</v>
      </c>
      <c r="E10" s="4">
        <v>1.744186E-2</v>
      </c>
      <c r="F10" s="4">
        <v>3.2374101000000002E-2</v>
      </c>
      <c r="G10" s="4">
        <v>0</v>
      </c>
      <c r="H10" s="4">
        <v>5.62249E-3</v>
      </c>
      <c r="I10" s="4">
        <v>0</v>
      </c>
      <c r="J10" s="4">
        <v>4.5454550000000003E-3</v>
      </c>
      <c r="K10" s="4">
        <v>2.3734176999999999E-2</v>
      </c>
      <c r="L10" s="4">
        <v>1.6077169999999998E-2</v>
      </c>
      <c r="M10" s="4">
        <v>1.3013013E-2</v>
      </c>
      <c r="N10" s="4">
        <v>2.0554979999999998E-3</v>
      </c>
      <c r="O10" s="4">
        <v>0</v>
      </c>
      <c r="P10" s="4">
        <v>0</v>
      </c>
      <c r="Q10" s="4">
        <v>0</v>
      </c>
      <c r="R10" s="4">
        <f t="shared" si="0"/>
        <v>1.0778570749999999E-2</v>
      </c>
    </row>
    <row r="11" spans="1:18" x14ac:dyDescent="0.4">
      <c r="A11" s="7" t="s">
        <v>24</v>
      </c>
      <c r="B11" s="8">
        <v>0</v>
      </c>
      <c r="C11" s="8">
        <v>0</v>
      </c>
      <c r="D11" s="8">
        <v>3.200732E-3</v>
      </c>
      <c r="E11" s="8">
        <v>0</v>
      </c>
      <c r="F11" s="8">
        <v>6.4748200000000001E-3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5.62701E-3</v>
      </c>
      <c r="M11" s="8">
        <v>0</v>
      </c>
      <c r="N11" s="8">
        <v>4.1109969999999999E-3</v>
      </c>
      <c r="O11" s="8">
        <v>0</v>
      </c>
      <c r="P11" s="8">
        <v>0</v>
      </c>
      <c r="Q11" s="8">
        <v>0</v>
      </c>
      <c r="R11" s="8">
        <f t="shared" si="0"/>
        <v>1.2133474375E-3</v>
      </c>
    </row>
    <row r="12" spans="1:18" x14ac:dyDescent="0.4">
      <c r="A12" s="3" t="s">
        <v>23</v>
      </c>
      <c r="B12" s="4">
        <v>1.3908206000000001E-3</v>
      </c>
      <c r="C12" s="4">
        <v>3.1328320999999999E-3</v>
      </c>
      <c r="D12" s="4">
        <v>9.1449469999999998E-4</v>
      </c>
      <c r="E12" s="4">
        <v>9.6899219999999997E-4</v>
      </c>
      <c r="F12" s="4">
        <v>0</v>
      </c>
      <c r="G12" s="4">
        <v>9.6930533000000006E-3</v>
      </c>
      <c r="H12" s="4">
        <v>0</v>
      </c>
      <c r="I12" s="4">
        <v>2.85714286E-2</v>
      </c>
      <c r="J12" s="4">
        <v>4.5454544999999997E-3</v>
      </c>
      <c r="K12" s="4">
        <v>3.9556961999999999E-3</v>
      </c>
      <c r="L12" s="4">
        <v>0</v>
      </c>
      <c r="M12" s="4">
        <v>0</v>
      </c>
      <c r="N12" s="4">
        <v>1.3360739999999999E-2</v>
      </c>
      <c r="O12" s="4">
        <v>0</v>
      </c>
      <c r="P12" s="4">
        <v>9.3023255999999995E-3</v>
      </c>
      <c r="Q12" s="4">
        <v>0</v>
      </c>
      <c r="R12" s="4">
        <f t="shared" si="0"/>
        <v>4.7397398624999991E-3</v>
      </c>
    </row>
    <row r="13" spans="1:18" x14ac:dyDescent="0.4">
      <c r="A13" s="7" t="s">
        <v>25</v>
      </c>
      <c r="B13" s="8">
        <v>1.3444599E-2</v>
      </c>
      <c r="C13" s="8">
        <v>1.3784461E-2</v>
      </c>
      <c r="D13" s="8">
        <v>1.0973937E-2</v>
      </c>
      <c r="E13" s="8">
        <v>7.2674419999999998E-3</v>
      </c>
      <c r="F13" s="8">
        <v>0</v>
      </c>
      <c r="G13" s="8">
        <v>0</v>
      </c>
      <c r="H13" s="8">
        <v>3.2128510000000001E-3</v>
      </c>
      <c r="I13" s="8">
        <v>0</v>
      </c>
      <c r="J13" s="8">
        <v>7.1428569999999999E-3</v>
      </c>
      <c r="K13" s="8">
        <v>1.3449367E-2</v>
      </c>
      <c r="L13" s="8">
        <v>0</v>
      </c>
      <c r="M13" s="8">
        <v>1.8018018E-2</v>
      </c>
      <c r="N13" s="8">
        <v>0</v>
      </c>
      <c r="O13" s="8">
        <v>2.6905829999999999E-3</v>
      </c>
      <c r="P13" s="8">
        <v>1.0852713E-2</v>
      </c>
      <c r="Q13" s="8">
        <v>4.2979940000000003E-3</v>
      </c>
      <c r="R13" s="8">
        <f t="shared" si="0"/>
        <v>6.5709263750000002E-3</v>
      </c>
    </row>
    <row r="14" spans="1:18" x14ac:dyDescent="0.4">
      <c r="A14" s="3" t="s">
        <v>14</v>
      </c>
      <c r="B14" s="4">
        <v>0.36578579999999999</v>
      </c>
      <c r="C14" s="4">
        <v>0.32518799999999998</v>
      </c>
      <c r="D14" s="4">
        <v>0.24965709999999999</v>
      </c>
      <c r="E14" s="4">
        <v>0.22529070000000001</v>
      </c>
      <c r="F14" s="4">
        <v>0.34316550000000001</v>
      </c>
      <c r="G14" s="4">
        <v>0.40549269999999998</v>
      </c>
      <c r="H14" s="4">
        <v>0.32530120000000001</v>
      </c>
      <c r="I14" s="4">
        <v>0.352381</v>
      </c>
      <c r="J14" s="4">
        <v>0.2058442</v>
      </c>
      <c r="K14" s="4">
        <v>0.2990506</v>
      </c>
      <c r="L14" s="4">
        <v>0.2226688</v>
      </c>
      <c r="M14" s="4">
        <v>0.22222220000000001</v>
      </c>
      <c r="N14" s="4">
        <v>0.1973279</v>
      </c>
      <c r="O14" s="4">
        <v>0.3399103</v>
      </c>
      <c r="P14" s="4">
        <v>0.31317830000000002</v>
      </c>
      <c r="Q14" s="4">
        <v>0.2292264</v>
      </c>
      <c r="R14" s="4">
        <f t="shared" si="0"/>
        <v>0.28885566874999996</v>
      </c>
    </row>
    <row r="15" spans="1:18" x14ac:dyDescent="0.4">
      <c r="A15" s="7" t="s">
        <v>20</v>
      </c>
      <c r="B15" s="8">
        <v>5.5632820000000001E-3</v>
      </c>
      <c r="C15" s="8">
        <v>4.3859650000000003E-3</v>
      </c>
      <c r="D15" s="8">
        <v>1.0973937E-2</v>
      </c>
      <c r="E15" s="8">
        <v>0</v>
      </c>
      <c r="F15" s="8">
        <v>0</v>
      </c>
      <c r="G15" s="8">
        <v>0</v>
      </c>
      <c r="H15" s="8">
        <v>0</v>
      </c>
      <c r="I15" s="8">
        <v>1.5238095E-2</v>
      </c>
      <c r="J15" s="8">
        <v>0</v>
      </c>
      <c r="K15" s="8">
        <v>1.5822784999999999E-2</v>
      </c>
      <c r="L15" s="8">
        <v>0</v>
      </c>
      <c r="M15" s="8">
        <v>0</v>
      </c>
      <c r="N15" s="8">
        <v>1.5416238000000001E-2</v>
      </c>
      <c r="O15" s="8">
        <v>0</v>
      </c>
      <c r="P15" s="8">
        <v>0</v>
      </c>
      <c r="Q15" s="8">
        <v>5.0143269999999998E-3</v>
      </c>
      <c r="R15" s="8">
        <f t="shared" si="0"/>
        <v>4.5259143125000005E-3</v>
      </c>
    </row>
  </sheetData>
  <autoFilter ref="A3:R15" xr:uid="{00000000-0009-0000-0000-000008000000}"/>
  <mergeCells count="2">
    <mergeCell ref="A2:R2"/>
    <mergeCell ref="A1:R1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18" width="11" customWidth="1"/>
  </cols>
  <sheetData>
    <row r="1" spans="1:18" ht="28.05" customHeight="1" x14ac:dyDescent="0.4">
      <c r="A1" s="23" t="s">
        <v>208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4.049999999999997" customHeight="1" x14ac:dyDescent="0.4">
      <c r="A2" s="26" t="s">
        <v>189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1.95" customHeight="1" x14ac:dyDescent="0.4">
      <c r="A3" s="20" t="s">
        <v>190</v>
      </c>
      <c r="B3" s="20" t="s">
        <v>209</v>
      </c>
      <c r="C3" s="20" t="s">
        <v>210</v>
      </c>
      <c r="D3" s="20" t="s">
        <v>211</v>
      </c>
      <c r="E3" s="20" t="s">
        <v>212</v>
      </c>
      <c r="F3" s="20" t="s">
        <v>213</v>
      </c>
      <c r="G3" s="20" t="s">
        <v>214</v>
      </c>
      <c r="H3" s="20" t="s">
        <v>215</v>
      </c>
      <c r="I3" s="20" t="s">
        <v>216</v>
      </c>
      <c r="J3" s="20" t="s">
        <v>217</v>
      </c>
      <c r="K3" s="20" t="s">
        <v>218</v>
      </c>
      <c r="L3" s="20" t="s">
        <v>219</v>
      </c>
      <c r="M3" s="20" t="s">
        <v>220</v>
      </c>
      <c r="N3" s="20" t="s">
        <v>221</v>
      </c>
      <c r="O3" s="20" t="s">
        <v>222</v>
      </c>
      <c r="P3" s="20" t="s">
        <v>223</v>
      </c>
      <c r="Q3" s="20" t="s">
        <v>224</v>
      </c>
      <c r="R3" s="20" t="s">
        <v>207</v>
      </c>
    </row>
    <row r="4" spans="1:18" x14ac:dyDescent="0.4">
      <c r="A4" s="3" t="s">
        <v>19</v>
      </c>
      <c r="B4" s="4">
        <v>4.3407042999999999E-2</v>
      </c>
      <c r="C4" s="4">
        <v>1.0004548E-2</v>
      </c>
      <c r="D4" s="4">
        <v>1.4993480999999999E-2</v>
      </c>
      <c r="E4" s="4">
        <v>1.0111223000000001E-2</v>
      </c>
      <c r="F4" s="4">
        <v>2.5418059999999999E-2</v>
      </c>
      <c r="G4" s="4">
        <v>1.0646388E-2</v>
      </c>
      <c r="H4" s="4">
        <v>5.3015239999999993E-3</v>
      </c>
      <c r="I4" s="4">
        <v>4.3843844E-2</v>
      </c>
      <c r="J4" s="4">
        <v>4.3991415999999998E-2</v>
      </c>
      <c r="K4" s="4">
        <v>3.1627906999999997E-2</v>
      </c>
      <c r="L4" s="4">
        <v>0</v>
      </c>
      <c r="M4" s="4">
        <v>3.7296036999999997E-2</v>
      </c>
      <c r="N4" s="4">
        <v>8.8365240000000001E-3</v>
      </c>
      <c r="O4" s="4">
        <v>0</v>
      </c>
      <c r="P4" s="4">
        <v>4.5489006999999998E-2</v>
      </c>
      <c r="Q4" s="4">
        <v>3.4715525999999997E-2</v>
      </c>
      <c r="R4" s="4">
        <f t="shared" ref="R4:R15" si="0">AVERAGE(B4:Q4)</f>
        <v>2.2855158000000004E-2</v>
      </c>
    </row>
    <row r="5" spans="1:18" x14ac:dyDescent="0.4">
      <c r="A5" s="7" t="s">
        <v>12</v>
      </c>
      <c r="B5" s="8">
        <v>0.33251429999999998</v>
      </c>
      <c r="C5" s="8">
        <v>0.66757619999999995</v>
      </c>
      <c r="D5" s="8">
        <v>0.49608869999999999</v>
      </c>
      <c r="E5" s="8">
        <v>0.42062690000000003</v>
      </c>
      <c r="F5" s="8">
        <v>0.59598660000000003</v>
      </c>
      <c r="G5" s="8">
        <v>0.60532319999999995</v>
      </c>
      <c r="H5" s="8">
        <v>0.58846920000000003</v>
      </c>
      <c r="I5" s="8">
        <v>0.51951950000000002</v>
      </c>
      <c r="J5" s="8">
        <v>0.47639480000000001</v>
      </c>
      <c r="K5" s="8">
        <v>0.4930233</v>
      </c>
      <c r="L5" s="8">
        <v>0.26861699999999999</v>
      </c>
      <c r="M5" s="8">
        <v>0.56293709999999997</v>
      </c>
      <c r="N5" s="8">
        <v>0.64948450000000002</v>
      </c>
      <c r="O5" s="8">
        <v>0</v>
      </c>
      <c r="P5" s="8">
        <v>0.55724030000000002</v>
      </c>
      <c r="Q5" s="8">
        <v>0.57859210000000005</v>
      </c>
      <c r="R5" s="8">
        <f t="shared" si="0"/>
        <v>0.48827460625000002</v>
      </c>
    </row>
    <row r="6" spans="1:18" x14ac:dyDescent="0.4">
      <c r="A6" s="3" t="s">
        <v>22</v>
      </c>
      <c r="B6" s="4">
        <v>0</v>
      </c>
      <c r="C6" s="4">
        <v>1.2278308E-2</v>
      </c>
      <c r="D6" s="4">
        <v>1.9556713999999999E-2</v>
      </c>
      <c r="E6" s="4">
        <v>1.5166835E-2</v>
      </c>
      <c r="F6" s="4">
        <v>0</v>
      </c>
      <c r="G6" s="4">
        <v>0</v>
      </c>
      <c r="H6" s="4">
        <v>1.5241882E-2</v>
      </c>
      <c r="I6" s="4">
        <v>0</v>
      </c>
      <c r="J6" s="4">
        <v>0</v>
      </c>
      <c r="K6" s="4">
        <v>0</v>
      </c>
      <c r="L6" s="4">
        <v>5.3191489000000002E-2</v>
      </c>
      <c r="M6" s="4">
        <v>0</v>
      </c>
      <c r="N6" s="4">
        <v>0</v>
      </c>
      <c r="O6" s="4">
        <v>0</v>
      </c>
      <c r="P6" s="4">
        <v>2.2744502999999999E-2</v>
      </c>
      <c r="Q6" s="4">
        <v>3.3751204999999999E-2</v>
      </c>
      <c r="R6" s="4">
        <f t="shared" si="0"/>
        <v>1.07456835E-2</v>
      </c>
    </row>
    <row r="7" spans="1:18" x14ac:dyDescent="0.4">
      <c r="A7" s="7" t="s">
        <v>21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4.5627380000000002E-3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5.7859210000000003E-3</v>
      </c>
      <c r="R7" s="8">
        <f t="shared" si="0"/>
        <v>6.4679118749999998E-4</v>
      </c>
    </row>
    <row r="8" spans="1:18" x14ac:dyDescent="0.4">
      <c r="A8" s="3" t="s">
        <v>15</v>
      </c>
      <c r="B8" s="4">
        <v>1.0647011E-2</v>
      </c>
      <c r="C8" s="4">
        <v>0</v>
      </c>
      <c r="D8" s="4">
        <v>5.8670140000000003E-3</v>
      </c>
      <c r="E8" s="4">
        <v>8.0889789999999996E-3</v>
      </c>
      <c r="F8" s="4">
        <v>9.3645480000000003E-3</v>
      </c>
      <c r="G8" s="4">
        <v>0</v>
      </c>
      <c r="H8" s="4">
        <v>1.1928429000000001E-2</v>
      </c>
      <c r="I8" s="4">
        <v>0</v>
      </c>
      <c r="J8" s="4">
        <v>0</v>
      </c>
      <c r="K8" s="4">
        <v>1.1162791E-2</v>
      </c>
      <c r="L8" s="4">
        <v>0</v>
      </c>
      <c r="M8" s="4">
        <v>4.7785547999999997E-2</v>
      </c>
      <c r="N8" s="4">
        <v>2.0618556999999999E-2</v>
      </c>
      <c r="O8" s="4">
        <v>0.79596977300000005</v>
      </c>
      <c r="P8" s="4">
        <v>2.1986353E-2</v>
      </c>
      <c r="Q8" s="4">
        <v>3.8572806000000001E-2</v>
      </c>
      <c r="R8" s="4">
        <f t="shared" si="0"/>
        <v>6.1374488062500003E-2</v>
      </c>
    </row>
    <row r="9" spans="1:18" x14ac:dyDescent="0.4">
      <c r="A9" s="7" t="s">
        <v>16</v>
      </c>
      <c r="B9" s="8">
        <v>1.7199017E-2</v>
      </c>
      <c r="C9" s="8">
        <v>4.7748976999999998E-2</v>
      </c>
      <c r="D9" s="8">
        <v>1.5645372000000001E-2</v>
      </c>
      <c r="E9" s="8">
        <v>1.4155713E-2</v>
      </c>
      <c r="F9" s="8">
        <v>4.8829431E-2</v>
      </c>
      <c r="G9" s="8">
        <v>2.9657795000000001E-2</v>
      </c>
      <c r="H9" s="8">
        <v>9.9403579999999998E-3</v>
      </c>
      <c r="I9" s="8">
        <v>6.0660660999999991E-2</v>
      </c>
      <c r="J9" s="8">
        <v>1.6094421000000001E-2</v>
      </c>
      <c r="K9" s="8">
        <v>1.4883721000000001E-2</v>
      </c>
      <c r="L9" s="8">
        <v>2.6595745E-2</v>
      </c>
      <c r="M9" s="8">
        <v>1.0489510000000001E-2</v>
      </c>
      <c r="N9" s="8">
        <v>1.4727541E-2</v>
      </c>
      <c r="O9" s="8">
        <v>0</v>
      </c>
      <c r="P9" s="8">
        <v>1.5163002E-2</v>
      </c>
      <c r="Q9" s="8">
        <v>2.7965284E-2</v>
      </c>
      <c r="R9" s="8">
        <f t="shared" si="0"/>
        <v>2.3109784249999998E-2</v>
      </c>
    </row>
    <row r="10" spans="1:18" x14ac:dyDescent="0.4">
      <c r="A10" s="3" t="s">
        <v>18</v>
      </c>
      <c r="B10" s="4">
        <v>2.3751023999999999E-2</v>
      </c>
      <c r="C10" s="4">
        <v>1.4097317E-2</v>
      </c>
      <c r="D10" s="4">
        <v>2.6075619000000001E-2</v>
      </c>
      <c r="E10" s="4">
        <v>1.1122346E-2</v>
      </c>
      <c r="F10" s="4">
        <v>2.5418059999999999E-2</v>
      </c>
      <c r="G10" s="4">
        <v>2.5095057E-2</v>
      </c>
      <c r="H10" s="4">
        <v>1.7892643999999999E-2</v>
      </c>
      <c r="I10" s="4">
        <v>2.4624625000000001E-2</v>
      </c>
      <c r="J10" s="4">
        <v>1.1802574999999999E-2</v>
      </c>
      <c r="K10" s="4">
        <v>2.6046512000000001E-2</v>
      </c>
      <c r="L10" s="4">
        <v>2.1276595999999998E-2</v>
      </c>
      <c r="M10" s="4">
        <v>2.6806527E-2</v>
      </c>
      <c r="N10" s="4">
        <v>0</v>
      </c>
      <c r="O10" s="4">
        <v>0</v>
      </c>
      <c r="P10" s="4">
        <v>3.9423805999999999E-2</v>
      </c>
      <c r="Q10" s="4">
        <v>1.9286403000000001E-2</v>
      </c>
      <c r="R10" s="4">
        <f t="shared" si="0"/>
        <v>1.9544944437500003E-2</v>
      </c>
    </row>
    <row r="11" spans="1:18" x14ac:dyDescent="0.4">
      <c r="A11" s="7" t="s">
        <v>24</v>
      </c>
      <c r="B11" s="8">
        <v>0</v>
      </c>
      <c r="C11" s="8">
        <v>0</v>
      </c>
      <c r="D11" s="8">
        <v>0</v>
      </c>
      <c r="E11" s="8">
        <v>0</v>
      </c>
      <c r="F11" s="8">
        <v>6.0200669999999996E-3</v>
      </c>
      <c r="G11" s="8">
        <v>0</v>
      </c>
      <c r="H11" s="8">
        <v>0</v>
      </c>
      <c r="I11" s="8">
        <v>7.2072070000000002E-3</v>
      </c>
      <c r="J11" s="8">
        <v>3.218884E-3</v>
      </c>
      <c r="K11" s="8">
        <v>6.5116280000000002E-3</v>
      </c>
      <c r="L11" s="8">
        <v>0</v>
      </c>
      <c r="M11" s="8">
        <v>0</v>
      </c>
      <c r="N11" s="8">
        <v>0</v>
      </c>
      <c r="O11" s="8">
        <v>0</v>
      </c>
      <c r="P11" s="8">
        <v>3.7907510000000002E-3</v>
      </c>
      <c r="Q11" s="8">
        <v>4.821601E-3</v>
      </c>
      <c r="R11" s="8">
        <f t="shared" si="0"/>
        <v>1.9731336250000003E-3</v>
      </c>
    </row>
    <row r="12" spans="1:18" x14ac:dyDescent="0.4">
      <c r="A12" s="3" t="s">
        <v>23</v>
      </c>
      <c r="B12" s="4">
        <v>8.1900081999999996E-3</v>
      </c>
      <c r="C12" s="4">
        <v>0</v>
      </c>
      <c r="D12" s="4">
        <v>3.2594524000000001E-3</v>
      </c>
      <c r="E12" s="4">
        <v>0</v>
      </c>
      <c r="F12" s="4">
        <v>2.6755853E-3</v>
      </c>
      <c r="G12" s="4">
        <v>1.2167300400000001E-2</v>
      </c>
      <c r="H12" s="4">
        <v>0</v>
      </c>
      <c r="I12" s="4">
        <v>5.285285289999999E-2</v>
      </c>
      <c r="J12" s="4">
        <v>2.1459227E-3</v>
      </c>
      <c r="K12" s="4">
        <v>2.7906977000000002E-3</v>
      </c>
      <c r="L12" s="4">
        <v>1.06382979E-2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f t="shared" si="0"/>
        <v>5.9200073437499987E-3</v>
      </c>
    </row>
    <row r="13" spans="1:18" x14ac:dyDescent="0.4">
      <c r="A13" s="7" t="s">
        <v>25</v>
      </c>
      <c r="B13" s="8">
        <v>1.8018018E-2</v>
      </c>
      <c r="C13" s="8">
        <v>0</v>
      </c>
      <c r="D13" s="8">
        <v>2.6075619999999999E-3</v>
      </c>
      <c r="E13" s="8">
        <v>2.3255814E-2</v>
      </c>
      <c r="F13" s="8">
        <v>1.0033445E-2</v>
      </c>
      <c r="G13" s="8">
        <v>0</v>
      </c>
      <c r="H13" s="8">
        <v>6.6269049999999998E-3</v>
      </c>
      <c r="I13" s="8">
        <v>9.6096099999999993E-3</v>
      </c>
      <c r="J13" s="8">
        <v>4.2918449999999999E-3</v>
      </c>
      <c r="K13" s="8">
        <v>0</v>
      </c>
      <c r="L13" s="8">
        <v>0</v>
      </c>
      <c r="M13" s="8">
        <v>1.0489510000000001E-2</v>
      </c>
      <c r="N13" s="8">
        <v>1.4727541E-2</v>
      </c>
      <c r="O13" s="8">
        <v>0</v>
      </c>
      <c r="P13" s="8">
        <v>5.3070510000000001E-3</v>
      </c>
      <c r="Q13" s="8">
        <v>0</v>
      </c>
      <c r="R13" s="8">
        <f t="shared" si="0"/>
        <v>6.5604563125000008E-3</v>
      </c>
    </row>
    <row r="14" spans="1:18" x14ac:dyDescent="0.4">
      <c r="A14" s="3" t="s">
        <v>14</v>
      </c>
      <c r="B14" s="4">
        <v>0.51842750000000004</v>
      </c>
      <c r="C14" s="4">
        <v>0.24829470000000001</v>
      </c>
      <c r="D14" s="4">
        <v>0.4159061</v>
      </c>
      <c r="E14" s="4">
        <v>0.49241659999999998</v>
      </c>
      <c r="F14" s="4">
        <v>0.26220739999999998</v>
      </c>
      <c r="G14" s="4">
        <v>0.30190109999999998</v>
      </c>
      <c r="H14" s="4">
        <v>0.34459909999999999</v>
      </c>
      <c r="I14" s="4">
        <v>0.27087090000000003</v>
      </c>
      <c r="J14" s="4">
        <v>0.42274679999999998</v>
      </c>
      <c r="K14" s="4">
        <v>0.37116280000000001</v>
      </c>
      <c r="L14" s="4">
        <v>0.61968089999999998</v>
      </c>
      <c r="M14" s="4">
        <v>0.30419580000000002</v>
      </c>
      <c r="N14" s="4">
        <v>0.29160530000000001</v>
      </c>
      <c r="O14" s="4">
        <v>0.20403019999999999</v>
      </c>
      <c r="P14" s="4">
        <v>0.28885519999999998</v>
      </c>
      <c r="Q14" s="4">
        <v>0.25265189999999998</v>
      </c>
      <c r="R14" s="4">
        <f t="shared" si="0"/>
        <v>0.35059701874999993</v>
      </c>
    </row>
    <row r="15" spans="1:18" x14ac:dyDescent="0.4">
      <c r="A15" s="7" t="s">
        <v>20</v>
      </c>
      <c r="B15" s="8">
        <v>2.7846027999999998E-2</v>
      </c>
      <c r="C15" s="8">
        <v>0</v>
      </c>
      <c r="D15" s="8">
        <v>0</v>
      </c>
      <c r="E15" s="8">
        <v>5.0556120000000001E-3</v>
      </c>
      <c r="F15" s="8">
        <v>1.4046823E-2</v>
      </c>
      <c r="G15" s="8">
        <v>1.0646388E-2</v>
      </c>
      <c r="H15" s="8">
        <v>0</v>
      </c>
      <c r="I15" s="8">
        <v>1.0810811E-2</v>
      </c>
      <c r="J15" s="8">
        <v>1.9313304999999999E-2</v>
      </c>
      <c r="K15" s="8">
        <v>4.2790698000000002E-2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3.8572810000000002E-3</v>
      </c>
      <c r="R15" s="8">
        <f t="shared" si="0"/>
        <v>8.3979341249999992E-3</v>
      </c>
    </row>
  </sheetData>
  <autoFilter ref="A3:R15" xr:uid="{00000000-0009-0000-0000-000009000000}"/>
  <mergeCells count="2">
    <mergeCell ref="A2:R2"/>
    <mergeCell ref="A1:R1"/>
  </mergeCells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18" width="11" customWidth="1"/>
  </cols>
  <sheetData>
    <row r="1" spans="1:18" ht="28.05" customHeight="1" x14ac:dyDescent="0.4">
      <c r="A1" s="23" t="s">
        <v>225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4.049999999999997" customHeight="1" x14ac:dyDescent="0.4">
      <c r="A2" s="26" t="s">
        <v>189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1.95" customHeight="1" x14ac:dyDescent="0.4">
      <c r="A3" s="19" t="s">
        <v>226</v>
      </c>
      <c r="B3" s="19" t="s">
        <v>191</v>
      </c>
      <c r="C3" s="19" t="s">
        <v>192</v>
      </c>
      <c r="D3" s="19" t="s">
        <v>193</v>
      </c>
      <c r="E3" s="19" t="s">
        <v>194</v>
      </c>
      <c r="F3" s="19" t="s">
        <v>195</v>
      </c>
      <c r="G3" s="19" t="s">
        <v>196</v>
      </c>
      <c r="H3" s="19" t="s">
        <v>197</v>
      </c>
      <c r="I3" s="19" t="s">
        <v>198</v>
      </c>
      <c r="J3" s="19" t="s">
        <v>199</v>
      </c>
      <c r="K3" s="19" t="s">
        <v>200</v>
      </c>
      <c r="L3" s="19" t="s">
        <v>201</v>
      </c>
      <c r="M3" s="19" t="s">
        <v>202</v>
      </c>
      <c r="N3" s="19" t="s">
        <v>203</v>
      </c>
      <c r="O3" s="19" t="s">
        <v>204</v>
      </c>
      <c r="P3" s="19" t="s">
        <v>205</v>
      </c>
      <c r="Q3" s="19" t="s">
        <v>206</v>
      </c>
      <c r="R3" s="19" t="s">
        <v>207</v>
      </c>
    </row>
    <row r="4" spans="1:18" x14ac:dyDescent="0.4">
      <c r="A4" s="3" t="s">
        <v>39</v>
      </c>
      <c r="B4" s="4">
        <v>1.4371813000000001E-2</v>
      </c>
      <c r="C4" s="4">
        <v>5.6390976999999988E-2</v>
      </c>
      <c r="D4" s="4">
        <v>4.2066758000000003E-2</v>
      </c>
      <c r="E4" s="4">
        <v>5.1841085000000002E-2</v>
      </c>
      <c r="F4" s="4">
        <v>3.0935252E-2</v>
      </c>
      <c r="G4" s="4">
        <v>8.0775440000000007E-3</v>
      </c>
      <c r="H4" s="4">
        <v>2.0883533999999999E-2</v>
      </c>
      <c r="I4" s="4">
        <v>2.2857143E-2</v>
      </c>
      <c r="J4" s="4">
        <v>6.0389610000000003E-2</v>
      </c>
      <c r="K4" s="4">
        <v>3.9556962000000001E-2</v>
      </c>
      <c r="L4" s="4">
        <v>1.4469453E-2</v>
      </c>
      <c r="M4" s="4">
        <v>3.3033033000000003E-2</v>
      </c>
      <c r="N4" s="4">
        <v>4.7276464999999997E-2</v>
      </c>
      <c r="O4" s="4">
        <v>3.7668160999999999E-2</v>
      </c>
      <c r="P4" s="4">
        <v>5.4263565999999999E-2</v>
      </c>
      <c r="Q4" s="4">
        <v>2.4355300999999999E-2</v>
      </c>
      <c r="R4" s="4">
        <f t="shared" ref="R4:R25" si="0">AVERAGE(B4:Q4)</f>
        <v>3.49022910625E-2</v>
      </c>
    </row>
    <row r="5" spans="1:18" x14ac:dyDescent="0.4">
      <c r="A5" s="7" t="s">
        <v>53</v>
      </c>
      <c r="B5" s="8">
        <v>0</v>
      </c>
      <c r="C5" s="8">
        <v>1.1904761999999999E-2</v>
      </c>
      <c r="D5" s="8">
        <v>1.0059442E-2</v>
      </c>
      <c r="E5" s="8">
        <v>2.9069769999999998E-3</v>
      </c>
      <c r="F5" s="8">
        <v>0</v>
      </c>
      <c r="G5" s="8">
        <v>0</v>
      </c>
      <c r="H5" s="8">
        <v>8.0321290000000007E-3</v>
      </c>
      <c r="I5" s="8">
        <v>1.3333332999999999E-2</v>
      </c>
      <c r="J5" s="8">
        <v>1.3636364E-2</v>
      </c>
      <c r="K5" s="8">
        <v>7.9113919999999997E-3</v>
      </c>
      <c r="L5" s="8">
        <v>6.430868000000001E-3</v>
      </c>
      <c r="M5" s="8">
        <v>9.0090090000000001E-3</v>
      </c>
      <c r="N5" s="8">
        <v>0</v>
      </c>
      <c r="O5" s="8">
        <v>0</v>
      </c>
      <c r="P5" s="8">
        <v>6.2015500000000001E-3</v>
      </c>
      <c r="Q5" s="8">
        <v>3.5816620000000011E-3</v>
      </c>
      <c r="R5" s="8">
        <f t="shared" si="0"/>
        <v>5.812968E-3</v>
      </c>
    </row>
    <row r="6" spans="1:18" x14ac:dyDescent="0.4">
      <c r="A6" s="3" t="s">
        <v>38</v>
      </c>
      <c r="B6" s="4">
        <v>0.33565137</v>
      </c>
      <c r="C6" s="4">
        <v>0.32644109999999998</v>
      </c>
      <c r="D6" s="4">
        <v>0.19615911999999999</v>
      </c>
      <c r="E6" s="4">
        <v>0.31443798000000001</v>
      </c>
      <c r="F6" s="4">
        <v>0.30431655000000002</v>
      </c>
      <c r="G6" s="4">
        <v>0.15508885</v>
      </c>
      <c r="H6" s="4">
        <v>0.43935742999999999</v>
      </c>
      <c r="I6" s="4">
        <v>9.7142859999999998E-2</v>
      </c>
      <c r="J6" s="4">
        <v>0.16558442000000001</v>
      </c>
      <c r="K6" s="4">
        <v>0.25395570000000001</v>
      </c>
      <c r="L6" s="4">
        <v>0.48231510999999999</v>
      </c>
      <c r="M6" s="4">
        <v>0.31531532000000001</v>
      </c>
      <c r="N6" s="4">
        <v>0.26721479999999997</v>
      </c>
      <c r="O6" s="4">
        <v>0.42152466</v>
      </c>
      <c r="P6" s="4">
        <v>0.17984496</v>
      </c>
      <c r="Q6" s="4">
        <v>0.39613180999999997</v>
      </c>
      <c r="R6" s="4">
        <f t="shared" si="0"/>
        <v>0.2906551275</v>
      </c>
    </row>
    <row r="7" spans="1:18" x14ac:dyDescent="0.4">
      <c r="A7" s="7" t="s">
        <v>34</v>
      </c>
      <c r="B7" s="8">
        <v>0.2396847</v>
      </c>
      <c r="C7" s="8">
        <v>0.2055138</v>
      </c>
      <c r="D7" s="8">
        <v>0.1668953</v>
      </c>
      <c r="E7" s="8">
        <v>0.1453488</v>
      </c>
      <c r="F7" s="8">
        <v>0.2280576</v>
      </c>
      <c r="G7" s="8">
        <v>0.22294020000000001</v>
      </c>
      <c r="H7" s="8">
        <v>0.20722889999999999</v>
      </c>
      <c r="I7" s="8">
        <v>0.22476189999999999</v>
      </c>
      <c r="J7" s="8">
        <v>0.18636359999999999</v>
      </c>
      <c r="K7" s="8">
        <v>0.21123420000000001</v>
      </c>
      <c r="L7" s="8">
        <v>0.15594859999999999</v>
      </c>
      <c r="M7" s="8">
        <v>0.15515519999999999</v>
      </c>
      <c r="N7" s="8">
        <v>0.13257969999999999</v>
      </c>
      <c r="O7" s="8">
        <v>0.18923770000000001</v>
      </c>
      <c r="P7" s="8">
        <v>0.24496119999999999</v>
      </c>
      <c r="Q7" s="8">
        <v>0.1554441</v>
      </c>
      <c r="R7" s="8">
        <f t="shared" si="0"/>
        <v>0.19195971874999998</v>
      </c>
    </row>
    <row r="8" spans="1:18" x14ac:dyDescent="0.4">
      <c r="A8" s="3" t="s">
        <v>36</v>
      </c>
      <c r="B8" s="4">
        <v>0</v>
      </c>
      <c r="C8" s="4">
        <v>0</v>
      </c>
      <c r="D8" s="4">
        <v>3.657979E-3</v>
      </c>
      <c r="E8" s="4">
        <v>1.3565891E-2</v>
      </c>
      <c r="F8" s="4">
        <v>2.0863309E-2</v>
      </c>
      <c r="G8" s="4">
        <v>5.9773829000000001E-2</v>
      </c>
      <c r="H8" s="4">
        <v>0</v>
      </c>
      <c r="I8" s="4">
        <v>0</v>
      </c>
      <c r="J8" s="4">
        <v>4.5454550000000003E-3</v>
      </c>
      <c r="K8" s="4">
        <v>2.7689873E-2</v>
      </c>
      <c r="L8" s="4">
        <v>0</v>
      </c>
      <c r="M8" s="4">
        <v>4.5045044999999999E-2</v>
      </c>
      <c r="N8" s="4">
        <v>3.6998971999999998E-2</v>
      </c>
      <c r="O8" s="4">
        <v>1.0762331999999999E-2</v>
      </c>
      <c r="P8" s="4">
        <v>2.3255814E-2</v>
      </c>
      <c r="Q8" s="4">
        <v>4.2979940000000003E-3</v>
      </c>
      <c r="R8" s="4">
        <f t="shared" si="0"/>
        <v>1.56535308125E-2</v>
      </c>
    </row>
    <row r="9" spans="1:18" x14ac:dyDescent="0.4">
      <c r="A9" s="7" t="s">
        <v>47</v>
      </c>
      <c r="B9" s="8">
        <v>1.0662958E-2</v>
      </c>
      <c r="C9" s="8">
        <v>1.8796991999999998E-2</v>
      </c>
      <c r="D9" s="8">
        <v>1.3260174E-2</v>
      </c>
      <c r="E9" s="8">
        <v>9.2054259999999992E-3</v>
      </c>
      <c r="F9" s="8">
        <v>4.5323741000000001E-2</v>
      </c>
      <c r="G9" s="8">
        <v>0</v>
      </c>
      <c r="H9" s="8">
        <v>0</v>
      </c>
      <c r="I9" s="8">
        <v>0</v>
      </c>
      <c r="J9" s="8">
        <v>8.441558E-3</v>
      </c>
      <c r="K9" s="8">
        <v>2.6898734000000001E-2</v>
      </c>
      <c r="L9" s="8">
        <v>0</v>
      </c>
      <c r="M9" s="8">
        <v>1.3013013E-2</v>
      </c>
      <c r="N9" s="8">
        <v>0</v>
      </c>
      <c r="O9" s="8">
        <v>0</v>
      </c>
      <c r="P9" s="8">
        <v>0</v>
      </c>
      <c r="Q9" s="8">
        <v>0</v>
      </c>
      <c r="R9" s="8">
        <f t="shared" si="0"/>
        <v>9.10016225E-3</v>
      </c>
    </row>
    <row r="10" spans="1:18" x14ac:dyDescent="0.4">
      <c r="A10" s="3" t="s">
        <v>45</v>
      </c>
      <c r="B10" s="4">
        <v>0</v>
      </c>
      <c r="C10" s="4">
        <v>0</v>
      </c>
      <c r="D10" s="4">
        <v>0</v>
      </c>
      <c r="E10" s="4">
        <v>3.8759689999999999E-3</v>
      </c>
      <c r="F10" s="4">
        <v>5.7553960000000003E-3</v>
      </c>
      <c r="G10" s="4">
        <v>0</v>
      </c>
      <c r="H10" s="4">
        <v>0</v>
      </c>
      <c r="I10" s="4">
        <v>0</v>
      </c>
      <c r="J10" s="4">
        <v>2.7272727E-2</v>
      </c>
      <c r="K10" s="4">
        <v>0</v>
      </c>
      <c r="L10" s="4">
        <v>1.2057877999999999E-2</v>
      </c>
      <c r="M10" s="4">
        <v>0</v>
      </c>
      <c r="N10" s="4">
        <v>6.1664949999999993E-3</v>
      </c>
      <c r="O10" s="4">
        <v>4.4843050000000001E-3</v>
      </c>
      <c r="P10" s="4">
        <v>0</v>
      </c>
      <c r="Q10" s="4">
        <v>0</v>
      </c>
      <c r="R10" s="4">
        <f t="shared" si="0"/>
        <v>3.7257981250000002E-3</v>
      </c>
    </row>
    <row r="11" spans="1:18" x14ac:dyDescent="0.4">
      <c r="A11" s="7" t="s">
        <v>40</v>
      </c>
      <c r="B11" s="8">
        <v>0.12610107000000001</v>
      </c>
      <c r="C11" s="8">
        <v>0.11967419</v>
      </c>
      <c r="D11" s="8">
        <v>8.2761769999999998E-2</v>
      </c>
      <c r="E11" s="8">
        <v>7.9941860000000003E-2</v>
      </c>
      <c r="F11" s="8">
        <v>0.11510790999999999</v>
      </c>
      <c r="G11" s="8">
        <v>0.18255250000000001</v>
      </c>
      <c r="H11" s="8">
        <v>0.11807229</v>
      </c>
      <c r="I11" s="8">
        <v>0.12761905000000001</v>
      </c>
      <c r="J11" s="8">
        <v>1.9480520000000001E-2</v>
      </c>
      <c r="K11" s="8">
        <v>8.7816459999999999E-2</v>
      </c>
      <c r="L11" s="8">
        <v>6.6720260000000003E-2</v>
      </c>
      <c r="M11" s="8">
        <v>6.7067070000000006E-2</v>
      </c>
      <c r="N11" s="8">
        <v>6.4748200000000006E-2</v>
      </c>
      <c r="O11" s="8">
        <v>0.15067264999999999</v>
      </c>
      <c r="P11" s="8">
        <v>6.8217050000000001E-2</v>
      </c>
      <c r="Q11" s="8">
        <v>7.3782230000000004E-2</v>
      </c>
      <c r="R11" s="8">
        <f t="shared" si="0"/>
        <v>9.6895942499999999E-2</v>
      </c>
    </row>
    <row r="12" spans="1:18" x14ac:dyDescent="0.4">
      <c r="A12" s="3" t="s">
        <v>37</v>
      </c>
      <c r="B12" s="4">
        <v>3.7088548999999998E-2</v>
      </c>
      <c r="C12" s="4">
        <v>2.5689223000000001E-2</v>
      </c>
      <c r="D12" s="4">
        <v>5.0754458000000002E-2</v>
      </c>
      <c r="E12" s="4">
        <v>2.6162791000000001E-2</v>
      </c>
      <c r="F12" s="4">
        <v>1.5107914E-2</v>
      </c>
      <c r="G12" s="4">
        <v>0.25848142200000002</v>
      </c>
      <c r="H12" s="4">
        <v>4.3373493999999999E-2</v>
      </c>
      <c r="I12" s="4">
        <v>0.205714286</v>
      </c>
      <c r="J12" s="4">
        <v>6.2337662000000002E-2</v>
      </c>
      <c r="K12" s="4">
        <v>2.4525315999999998E-2</v>
      </c>
      <c r="L12" s="4">
        <v>3.1350481999999999E-2</v>
      </c>
      <c r="M12" s="4">
        <v>2.5025024999999999E-2</v>
      </c>
      <c r="N12" s="4">
        <v>3.8026720999999999E-2</v>
      </c>
      <c r="O12" s="4">
        <v>3.9461883000000003E-2</v>
      </c>
      <c r="P12" s="4">
        <v>6.5116278999999999E-2</v>
      </c>
      <c r="Q12" s="4">
        <v>3.4383954000000001E-2</v>
      </c>
      <c r="R12" s="4">
        <f t="shared" si="0"/>
        <v>6.1412466187500007E-2</v>
      </c>
    </row>
    <row r="13" spans="1:18" x14ac:dyDescent="0.4">
      <c r="A13" s="7" t="s">
        <v>51</v>
      </c>
      <c r="B13" s="8">
        <v>0</v>
      </c>
      <c r="C13" s="8">
        <v>6.2656639999999998E-3</v>
      </c>
      <c r="D13" s="8">
        <v>2.286237E-3</v>
      </c>
      <c r="E13" s="8">
        <v>0</v>
      </c>
      <c r="F13" s="8">
        <v>0</v>
      </c>
      <c r="G13" s="8">
        <v>1.7770597999999999E-2</v>
      </c>
      <c r="H13" s="8">
        <v>1.124498E-2</v>
      </c>
      <c r="I13" s="8">
        <v>0</v>
      </c>
      <c r="J13" s="8">
        <v>0</v>
      </c>
      <c r="K13" s="8">
        <v>3.1645570000000001E-3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9.3123210000000001E-3</v>
      </c>
      <c r="R13" s="8">
        <f t="shared" si="0"/>
        <v>3.1277723124999999E-3</v>
      </c>
    </row>
    <row r="14" spans="1:18" x14ac:dyDescent="0.4">
      <c r="A14" s="3" t="s">
        <v>54</v>
      </c>
      <c r="B14" s="4">
        <v>3.2452480000000001E-3</v>
      </c>
      <c r="C14" s="4">
        <v>9.3984959999999992E-3</v>
      </c>
      <c r="D14" s="4">
        <v>2.0576132E-2</v>
      </c>
      <c r="E14" s="4">
        <v>8.2364340000000008E-3</v>
      </c>
      <c r="F14" s="4">
        <v>0</v>
      </c>
      <c r="G14" s="4">
        <v>0</v>
      </c>
      <c r="H14" s="4">
        <v>0</v>
      </c>
      <c r="I14" s="4">
        <v>7.6190479999999998E-3</v>
      </c>
      <c r="J14" s="4">
        <v>1.1038961E-2</v>
      </c>
      <c r="K14" s="4">
        <v>1.6613923999999999E-2</v>
      </c>
      <c r="L14" s="4">
        <v>0</v>
      </c>
      <c r="M14" s="4">
        <v>1.1011010999999999E-2</v>
      </c>
      <c r="N14" s="4">
        <v>0</v>
      </c>
      <c r="O14" s="4">
        <v>0</v>
      </c>
      <c r="P14" s="4">
        <v>3.5658914999999999E-2</v>
      </c>
      <c r="Q14" s="4">
        <v>7.8796560000000005E-3</v>
      </c>
      <c r="R14" s="4">
        <f t="shared" si="0"/>
        <v>8.2048640625000009E-3</v>
      </c>
    </row>
    <row r="15" spans="1:18" x14ac:dyDescent="0.4">
      <c r="A15" s="7" t="s">
        <v>42</v>
      </c>
      <c r="B15" s="8">
        <v>2.0862308999999999E-2</v>
      </c>
      <c r="C15" s="8">
        <v>1.3784461E-2</v>
      </c>
      <c r="D15" s="8">
        <v>6.4014629999999996E-3</v>
      </c>
      <c r="E15" s="8">
        <v>7.2674419999999998E-3</v>
      </c>
      <c r="F15" s="8">
        <v>6.4748200000000001E-3</v>
      </c>
      <c r="G15" s="8">
        <v>0</v>
      </c>
      <c r="H15" s="8">
        <v>0</v>
      </c>
      <c r="I15" s="8">
        <v>0</v>
      </c>
      <c r="J15" s="8">
        <v>4.5454550000000003E-3</v>
      </c>
      <c r="K15" s="8">
        <v>7.120253E-3</v>
      </c>
      <c r="L15" s="8">
        <v>1.1254019000000001E-2</v>
      </c>
      <c r="M15" s="8">
        <v>6.0060060000000004E-3</v>
      </c>
      <c r="N15" s="8">
        <v>0</v>
      </c>
      <c r="O15" s="8">
        <v>0</v>
      </c>
      <c r="P15" s="8">
        <v>0</v>
      </c>
      <c r="Q15" s="8">
        <v>0</v>
      </c>
      <c r="R15" s="8">
        <f t="shared" si="0"/>
        <v>5.2322642499999994E-3</v>
      </c>
    </row>
    <row r="16" spans="1:18" x14ac:dyDescent="0.4">
      <c r="A16" s="3" t="s">
        <v>50</v>
      </c>
      <c r="B16" s="4">
        <v>0</v>
      </c>
      <c r="C16" s="4">
        <v>0</v>
      </c>
      <c r="D16" s="4">
        <v>3.200732E-3</v>
      </c>
      <c r="E16" s="4">
        <v>0</v>
      </c>
      <c r="F16" s="4">
        <v>6.4748200000000001E-3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5.62701E-3</v>
      </c>
      <c r="M16" s="4">
        <v>0</v>
      </c>
      <c r="N16" s="4">
        <v>4.1109969999999999E-3</v>
      </c>
      <c r="O16" s="4">
        <v>0</v>
      </c>
      <c r="P16" s="4">
        <v>0</v>
      </c>
      <c r="Q16" s="4">
        <v>0</v>
      </c>
      <c r="R16" s="4">
        <f t="shared" si="0"/>
        <v>1.2133474375E-3</v>
      </c>
    </row>
    <row r="17" spans="1:18" x14ac:dyDescent="0.4">
      <c r="A17" s="7" t="s">
        <v>23</v>
      </c>
      <c r="B17" s="8">
        <v>1.3908206000000001E-3</v>
      </c>
      <c r="C17" s="8">
        <v>3.1328320999999999E-3</v>
      </c>
      <c r="D17" s="8">
        <v>9.1449469999999998E-4</v>
      </c>
      <c r="E17" s="8">
        <v>9.6899219999999997E-4</v>
      </c>
      <c r="F17" s="8">
        <v>0</v>
      </c>
      <c r="G17" s="8">
        <v>9.6930533000000006E-3</v>
      </c>
      <c r="H17" s="8">
        <v>0</v>
      </c>
      <c r="I17" s="8">
        <v>2.85714286E-2</v>
      </c>
      <c r="J17" s="8">
        <v>4.5454544999999997E-3</v>
      </c>
      <c r="K17" s="8">
        <v>3.9556961999999999E-3</v>
      </c>
      <c r="L17" s="8">
        <v>0</v>
      </c>
      <c r="M17" s="8">
        <v>0</v>
      </c>
      <c r="N17" s="8">
        <v>1.3360739999999999E-2</v>
      </c>
      <c r="O17" s="8">
        <v>0</v>
      </c>
      <c r="P17" s="8">
        <v>9.3023255999999995E-3</v>
      </c>
      <c r="Q17" s="8">
        <v>0</v>
      </c>
      <c r="R17" s="8">
        <f t="shared" si="0"/>
        <v>4.7397398624999991E-3</v>
      </c>
    </row>
    <row r="18" spans="1:18" x14ac:dyDescent="0.4">
      <c r="A18" s="3" t="s">
        <v>46</v>
      </c>
      <c r="B18" s="4">
        <v>8.3449240000000001E-3</v>
      </c>
      <c r="C18" s="4">
        <v>9.3984959999999992E-3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1.5238095E-2</v>
      </c>
      <c r="J18" s="4">
        <v>0</v>
      </c>
      <c r="K18" s="4">
        <v>5.5379749999999997E-3</v>
      </c>
      <c r="L18" s="4">
        <v>0</v>
      </c>
      <c r="M18" s="4">
        <v>6.0060060000000004E-3</v>
      </c>
      <c r="N18" s="4">
        <v>0</v>
      </c>
      <c r="O18" s="4">
        <v>0</v>
      </c>
      <c r="P18" s="4">
        <v>0</v>
      </c>
      <c r="Q18" s="4">
        <v>2.865330000000001E-3</v>
      </c>
      <c r="R18" s="4">
        <f t="shared" si="0"/>
        <v>2.9619266250000002E-3</v>
      </c>
    </row>
    <row r="19" spans="1:18" x14ac:dyDescent="0.4">
      <c r="A19" s="7" t="s">
        <v>49</v>
      </c>
      <c r="B19" s="8">
        <v>1.3444599E-2</v>
      </c>
      <c r="C19" s="8">
        <v>9.3984959999999992E-3</v>
      </c>
      <c r="D19" s="8">
        <v>4.572474E-3</v>
      </c>
      <c r="E19" s="8">
        <v>0</v>
      </c>
      <c r="F19" s="8">
        <v>0</v>
      </c>
      <c r="G19" s="8">
        <v>0</v>
      </c>
      <c r="H19" s="8">
        <v>3.2128510000000001E-3</v>
      </c>
      <c r="I19" s="8">
        <v>0</v>
      </c>
      <c r="J19" s="8">
        <v>3.8961040000000001E-3</v>
      </c>
      <c r="K19" s="8">
        <v>6.3291140000000003E-3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4.2979940000000003E-3</v>
      </c>
      <c r="R19" s="8">
        <f t="shared" si="0"/>
        <v>2.8219769999999998E-3</v>
      </c>
    </row>
    <row r="20" spans="1:18" x14ac:dyDescent="0.4">
      <c r="A20" s="3" t="s">
        <v>48</v>
      </c>
      <c r="B20" s="4">
        <v>0</v>
      </c>
      <c r="C20" s="4">
        <v>4.3859650000000003E-3</v>
      </c>
      <c r="D20" s="4">
        <v>6.4014629999999996E-3</v>
      </c>
      <c r="E20" s="4">
        <v>7.2674419999999998E-3</v>
      </c>
      <c r="F20" s="4">
        <v>0</v>
      </c>
      <c r="G20" s="4">
        <v>0</v>
      </c>
      <c r="H20" s="4">
        <v>0</v>
      </c>
      <c r="I20" s="4">
        <v>0</v>
      </c>
      <c r="J20" s="4">
        <v>3.2467529999999998E-3</v>
      </c>
      <c r="K20" s="4">
        <v>7.120253E-3</v>
      </c>
      <c r="L20" s="4">
        <v>0</v>
      </c>
      <c r="M20" s="4">
        <v>1.8018018E-2</v>
      </c>
      <c r="N20" s="4">
        <v>0</v>
      </c>
      <c r="O20" s="4">
        <v>2.6905829999999999E-3</v>
      </c>
      <c r="P20" s="4">
        <v>1.0852713E-2</v>
      </c>
      <c r="Q20" s="4">
        <v>0</v>
      </c>
      <c r="R20" s="4">
        <f t="shared" si="0"/>
        <v>3.7489493749999995E-3</v>
      </c>
    </row>
    <row r="21" spans="1:18" x14ac:dyDescent="0.4">
      <c r="A21" s="7" t="s">
        <v>41</v>
      </c>
      <c r="B21" s="8">
        <v>0</v>
      </c>
      <c r="C21" s="8">
        <v>8.7719300000000007E-3</v>
      </c>
      <c r="D21" s="8">
        <v>7.773205E-3</v>
      </c>
      <c r="E21" s="8">
        <v>1.0174419000000001E-2</v>
      </c>
      <c r="F21" s="8">
        <v>2.5899281E-2</v>
      </c>
      <c r="G21" s="8">
        <v>0</v>
      </c>
      <c r="H21" s="8">
        <v>5.62249E-3</v>
      </c>
      <c r="I21" s="8">
        <v>0</v>
      </c>
      <c r="J21" s="8">
        <v>0</v>
      </c>
      <c r="K21" s="8">
        <v>1.6613923999999999E-2</v>
      </c>
      <c r="L21" s="8">
        <v>4.8231510000000003E-3</v>
      </c>
      <c r="M21" s="8">
        <v>7.0070069999999991E-3</v>
      </c>
      <c r="N21" s="8">
        <v>2.0554979999999998E-3</v>
      </c>
      <c r="O21" s="8">
        <v>0</v>
      </c>
      <c r="P21" s="8">
        <v>0</v>
      </c>
      <c r="Q21" s="8">
        <v>0</v>
      </c>
      <c r="R21" s="8">
        <f t="shared" si="0"/>
        <v>5.5463065624999997E-3</v>
      </c>
    </row>
    <row r="22" spans="1:18" x14ac:dyDescent="0.4">
      <c r="A22" s="3" t="s">
        <v>44</v>
      </c>
      <c r="B22" s="4">
        <v>1.8544270000000001E-3</v>
      </c>
      <c r="C22" s="4">
        <v>0</v>
      </c>
      <c r="D22" s="4">
        <v>0</v>
      </c>
      <c r="E22" s="4">
        <v>2.4224810000000002E-3</v>
      </c>
      <c r="F22" s="4">
        <v>0</v>
      </c>
      <c r="G22" s="4">
        <v>0</v>
      </c>
      <c r="H22" s="4">
        <v>0</v>
      </c>
      <c r="I22" s="4">
        <v>0</v>
      </c>
      <c r="J22" s="4">
        <v>1.5584416E-2</v>
      </c>
      <c r="K22" s="4">
        <v>0</v>
      </c>
      <c r="L22" s="4">
        <v>0</v>
      </c>
      <c r="M22" s="4">
        <v>3.9039038999999998E-2</v>
      </c>
      <c r="N22" s="4">
        <v>2.7749229E-2</v>
      </c>
      <c r="O22" s="4">
        <v>0</v>
      </c>
      <c r="P22" s="4">
        <v>0</v>
      </c>
      <c r="Q22" s="4">
        <v>0</v>
      </c>
      <c r="R22" s="4">
        <f t="shared" si="0"/>
        <v>5.4155994999999998E-3</v>
      </c>
    </row>
    <row r="23" spans="1:18" x14ac:dyDescent="0.4">
      <c r="A23" s="7" t="s">
        <v>35</v>
      </c>
      <c r="B23" s="8">
        <v>0.18173389000000001</v>
      </c>
      <c r="C23" s="8">
        <v>0.16666666999999999</v>
      </c>
      <c r="D23" s="8">
        <v>0.35482395999999999</v>
      </c>
      <c r="E23" s="8">
        <v>0.31637597000000001</v>
      </c>
      <c r="F23" s="8">
        <v>0.18920862999999999</v>
      </c>
      <c r="G23" s="8">
        <v>3.3925690000000001E-2</v>
      </c>
      <c r="H23" s="8">
        <v>0.10361446000000001</v>
      </c>
      <c r="I23" s="8">
        <v>0.23238095</v>
      </c>
      <c r="J23" s="8">
        <v>0.39025974000000002</v>
      </c>
      <c r="K23" s="8">
        <v>0.21835442999999999</v>
      </c>
      <c r="L23" s="8">
        <v>0.20176848999999999</v>
      </c>
      <c r="M23" s="8">
        <v>0.25025025000000001</v>
      </c>
      <c r="N23" s="8">
        <v>0.34429599</v>
      </c>
      <c r="O23" s="8">
        <v>0.14349776</v>
      </c>
      <c r="P23" s="8">
        <v>0.30232557999999998</v>
      </c>
      <c r="Q23" s="8">
        <v>0.27865329999999999</v>
      </c>
      <c r="R23" s="8">
        <f t="shared" si="0"/>
        <v>0.23175848500000001</v>
      </c>
    </row>
    <row r="24" spans="1:18" x14ac:dyDescent="0.4">
      <c r="A24" s="3" t="s">
        <v>43</v>
      </c>
      <c r="B24" s="4">
        <v>5.5632820000000001E-3</v>
      </c>
      <c r="C24" s="4">
        <v>4.3859650000000003E-3</v>
      </c>
      <c r="D24" s="4">
        <v>1.0973937E-2</v>
      </c>
      <c r="E24" s="4">
        <v>0</v>
      </c>
      <c r="F24" s="4">
        <v>0</v>
      </c>
      <c r="G24" s="4">
        <v>0</v>
      </c>
      <c r="H24" s="4">
        <v>0</v>
      </c>
      <c r="I24" s="4">
        <v>1.5238095E-2</v>
      </c>
      <c r="J24" s="4">
        <v>0</v>
      </c>
      <c r="K24" s="4">
        <v>1.5822784999999999E-2</v>
      </c>
      <c r="L24" s="4">
        <v>0</v>
      </c>
      <c r="M24" s="4">
        <v>0</v>
      </c>
      <c r="N24" s="4">
        <v>1.5416238000000001E-2</v>
      </c>
      <c r="O24" s="4">
        <v>0</v>
      </c>
      <c r="P24" s="4">
        <v>0</v>
      </c>
      <c r="Q24" s="4">
        <v>5.0143269999999998E-3</v>
      </c>
      <c r="R24" s="4">
        <f t="shared" si="0"/>
        <v>4.5259143125000005E-3</v>
      </c>
    </row>
    <row r="25" spans="1:18" x14ac:dyDescent="0.4">
      <c r="A25" s="7" t="s">
        <v>52</v>
      </c>
      <c r="B25" s="8">
        <v>0</v>
      </c>
      <c r="C25" s="8">
        <v>0</v>
      </c>
      <c r="D25" s="8">
        <v>1.6460905000000001E-2</v>
      </c>
      <c r="E25" s="8">
        <v>0</v>
      </c>
      <c r="F25" s="8">
        <v>6.4748200000000001E-3</v>
      </c>
      <c r="G25" s="8">
        <v>5.1696284000000002E-2</v>
      </c>
      <c r="H25" s="8">
        <v>3.9357429999999999E-2</v>
      </c>
      <c r="I25" s="8">
        <v>9.5238100000000006E-3</v>
      </c>
      <c r="J25" s="8">
        <v>1.8831168999999998E-2</v>
      </c>
      <c r="K25" s="8">
        <v>1.9778481000000001E-2</v>
      </c>
      <c r="L25" s="8">
        <v>7.2347269999999998E-3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f t="shared" si="0"/>
        <v>1.0584851624999999E-2</v>
      </c>
    </row>
  </sheetData>
  <autoFilter ref="A3:R25" xr:uid="{00000000-0009-0000-0000-00000A000000}"/>
  <mergeCells count="2">
    <mergeCell ref="A2:R2"/>
    <mergeCell ref="A1:R1"/>
  </mergeCells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18" width="11" customWidth="1"/>
  </cols>
  <sheetData>
    <row r="1" spans="1:18" ht="28.05" customHeight="1" x14ac:dyDescent="0.4">
      <c r="A1" s="23" t="s">
        <v>227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4.049999999999997" customHeight="1" x14ac:dyDescent="0.4">
      <c r="A2" s="26" t="s">
        <v>189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1.95" customHeight="1" x14ac:dyDescent="0.4">
      <c r="A3" s="20" t="s">
        <v>226</v>
      </c>
      <c r="B3" s="20" t="s">
        <v>209</v>
      </c>
      <c r="C3" s="20" t="s">
        <v>210</v>
      </c>
      <c r="D3" s="20" t="s">
        <v>211</v>
      </c>
      <c r="E3" s="20" t="s">
        <v>212</v>
      </c>
      <c r="F3" s="20" t="s">
        <v>213</v>
      </c>
      <c r="G3" s="20" t="s">
        <v>214</v>
      </c>
      <c r="H3" s="20" t="s">
        <v>215</v>
      </c>
      <c r="I3" s="20" t="s">
        <v>216</v>
      </c>
      <c r="J3" s="20" t="s">
        <v>217</v>
      </c>
      <c r="K3" s="20" t="s">
        <v>218</v>
      </c>
      <c r="L3" s="20" t="s">
        <v>219</v>
      </c>
      <c r="M3" s="20" t="s">
        <v>220</v>
      </c>
      <c r="N3" s="20" t="s">
        <v>221</v>
      </c>
      <c r="O3" s="20" t="s">
        <v>222</v>
      </c>
      <c r="P3" s="20" t="s">
        <v>223</v>
      </c>
      <c r="Q3" s="20" t="s">
        <v>224</v>
      </c>
      <c r="R3" s="20" t="s">
        <v>207</v>
      </c>
    </row>
    <row r="4" spans="1:18" x14ac:dyDescent="0.4">
      <c r="A4" s="3" t="s">
        <v>39</v>
      </c>
      <c r="B4" s="4">
        <v>6.1425061000000003E-2</v>
      </c>
      <c r="C4" s="4">
        <v>3.0013643E-2</v>
      </c>
      <c r="D4" s="4">
        <v>1.1082138E-2</v>
      </c>
      <c r="E4" s="4">
        <v>0</v>
      </c>
      <c r="F4" s="4">
        <v>0</v>
      </c>
      <c r="G4" s="4">
        <v>3.1939163E-2</v>
      </c>
      <c r="H4" s="4">
        <v>2.2531478000000001E-2</v>
      </c>
      <c r="I4" s="4">
        <v>4.3843844E-2</v>
      </c>
      <c r="J4" s="4">
        <v>5.7939914000000002E-2</v>
      </c>
      <c r="K4" s="4">
        <v>2.9767442000000002E-2</v>
      </c>
      <c r="L4" s="4">
        <v>3.1914893999999999E-2</v>
      </c>
      <c r="M4" s="4">
        <v>9.3240089999999994E-3</v>
      </c>
      <c r="N4" s="4">
        <v>5.8910159999999998E-3</v>
      </c>
      <c r="O4" s="4">
        <v>0</v>
      </c>
      <c r="P4" s="4">
        <v>1.8195603000000001E-2</v>
      </c>
      <c r="Q4" s="4">
        <v>0</v>
      </c>
      <c r="R4" s="4">
        <f t="shared" ref="R4:R25" si="0">AVERAGE(B4:Q4)</f>
        <v>2.2116762812500003E-2</v>
      </c>
    </row>
    <row r="5" spans="1:18" x14ac:dyDescent="0.4">
      <c r="A5" s="7" t="s">
        <v>53</v>
      </c>
      <c r="B5" s="8">
        <v>1.2285012E-2</v>
      </c>
      <c r="C5" s="8">
        <v>0</v>
      </c>
      <c r="D5" s="8">
        <v>1.303781E-2</v>
      </c>
      <c r="E5" s="8">
        <v>1.0111223000000001E-2</v>
      </c>
      <c r="F5" s="8">
        <v>4.6822740000000002E-3</v>
      </c>
      <c r="G5" s="8">
        <v>8.3650189999999996E-3</v>
      </c>
      <c r="H5" s="8">
        <v>5.3015239999999993E-3</v>
      </c>
      <c r="I5" s="8">
        <v>0</v>
      </c>
      <c r="J5" s="8">
        <v>1.1802574999999999E-2</v>
      </c>
      <c r="K5" s="8">
        <v>3.7209299999999999E-3</v>
      </c>
      <c r="L5" s="8">
        <v>0</v>
      </c>
      <c r="M5" s="8">
        <v>4.6620050000000003E-3</v>
      </c>
      <c r="N5" s="8">
        <v>8.8365240000000001E-3</v>
      </c>
      <c r="O5" s="8">
        <v>0</v>
      </c>
      <c r="P5" s="8">
        <v>4.5489010000000002E-3</v>
      </c>
      <c r="Q5" s="8">
        <v>0</v>
      </c>
      <c r="R5" s="8">
        <f t="shared" si="0"/>
        <v>5.4596123124999998E-3</v>
      </c>
    </row>
    <row r="6" spans="1:18" x14ac:dyDescent="0.4">
      <c r="A6" s="3" t="s">
        <v>38</v>
      </c>
      <c r="B6" s="4">
        <v>0.13759214</v>
      </c>
      <c r="C6" s="4">
        <v>0.38562983000000001</v>
      </c>
      <c r="D6" s="4">
        <v>0.36440677999999999</v>
      </c>
      <c r="E6" s="4">
        <v>0.29524771999999999</v>
      </c>
      <c r="F6" s="4">
        <v>0.27290969999999998</v>
      </c>
      <c r="G6" s="4">
        <v>0.36501900999999998</v>
      </c>
      <c r="H6" s="4">
        <v>0.37243207</v>
      </c>
      <c r="I6" s="4">
        <v>0.16456456</v>
      </c>
      <c r="J6" s="4">
        <v>0.20278969999999999</v>
      </c>
      <c r="K6" s="4">
        <v>0.20093022999999999</v>
      </c>
      <c r="L6" s="4">
        <v>0.11702128000000001</v>
      </c>
      <c r="M6" s="4">
        <v>0.39743590000000001</v>
      </c>
      <c r="N6" s="4">
        <v>0.51399116</v>
      </c>
      <c r="O6" s="4">
        <v>0</v>
      </c>
      <c r="P6" s="4">
        <v>0.27217588999999998</v>
      </c>
      <c r="Q6" s="4">
        <v>0.31436837000000001</v>
      </c>
      <c r="R6" s="4">
        <f t="shared" si="0"/>
        <v>0.27353214625</v>
      </c>
    </row>
    <row r="7" spans="1:18" x14ac:dyDescent="0.4">
      <c r="A7" s="7" t="s">
        <v>34</v>
      </c>
      <c r="B7" s="8">
        <v>0.41769040000000002</v>
      </c>
      <c r="C7" s="8">
        <v>0.1414279</v>
      </c>
      <c r="D7" s="8">
        <v>0.27640160000000003</v>
      </c>
      <c r="E7" s="8">
        <v>0.31547019999999998</v>
      </c>
      <c r="F7" s="8">
        <v>0.15785950000000001</v>
      </c>
      <c r="G7" s="8">
        <v>0.191635</v>
      </c>
      <c r="H7" s="8">
        <v>0.22531480000000001</v>
      </c>
      <c r="I7" s="8">
        <v>0.21201200000000001</v>
      </c>
      <c r="J7" s="8">
        <v>0.3519313</v>
      </c>
      <c r="K7" s="8">
        <v>0.30046509999999998</v>
      </c>
      <c r="L7" s="8">
        <v>0.37234040000000002</v>
      </c>
      <c r="M7" s="8">
        <v>0.21678320000000001</v>
      </c>
      <c r="N7" s="8">
        <v>0.1649485</v>
      </c>
      <c r="O7" s="8">
        <v>0.20403019999999999</v>
      </c>
      <c r="P7" s="8">
        <v>0.20697499999999999</v>
      </c>
      <c r="Q7" s="8">
        <v>0.19864999999999999</v>
      </c>
      <c r="R7" s="8">
        <f t="shared" si="0"/>
        <v>0.24712094374999999</v>
      </c>
    </row>
    <row r="8" spans="1:18" x14ac:dyDescent="0.4">
      <c r="A8" s="3" t="s">
        <v>36</v>
      </c>
      <c r="B8" s="4">
        <v>1.0647011E-2</v>
      </c>
      <c r="C8" s="4">
        <v>0</v>
      </c>
      <c r="D8" s="4">
        <v>5.8670140000000003E-3</v>
      </c>
      <c r="E8" s="4">
        <v>8.0889789999999996E-3</v>
      </c>
      <c r="F8" s="4">
        <v>9.3645480000000003E-3</v>
      </c>
      <c r="G8" s="4">
        <v>0</v>
      </c>
      <c r="H8" s="4">
        <v>1.1928429000000001E-2</v>
      </c>
      <c r="I8" s="4">
        <v>0</v>
      </c>
      <c r="J8" s="4">
        <v>0</v>
      </c>
      <c r="K8" s="4">
        <v>1.1162791E-2</v>
      </c>
      <c r="L8" s="4">
        <v>0</v>
      </c>
      <c r="M8" s="4">
        <v>4.7785547999999997E-2</v>
      </c>
      <c r="N8" s="4">
        <v>2.0618556999999999E-2</v>
      </c>
      <c r="O8" s="4">
        <v>0.79596977300000005</v>
      </c>
      <c r="P8" s="4">
        <v>2.1986353E-2</v>
      </c>
      <c r="Q8" s="4">
        <v>3.8572806000000001E-2</v>
      </c>
      <c r="R8" s="4">
        <f t="shared" si="0"/>
        <v>6.1374488062500003E-2</v>
      </c>
    </row>
    <row r="9" spans="1:18" x14ac:dyDescent="0.4">
      <c r="A9" s="7" t="s">
        <v>47</v>
      </c>
      <c r="B9" s="8">
        <v>0</v>
      </c>
      <c r="C9" s="8">
        <v>1.2278308E-2</v>
      </c>
      <c r="D9" s="8">
        <v>1.9556713999999999E-2</v>
      </c>
      <c r="E9" s="8">
        <v>1.5166835E-2</v>
      </c>
      <c r="F9" s="8">
        <v>0</v>
      </c>
      <c r="G9" s="8">
        <v>0</v>
      </c>
      <c r="H9" s="8">
        <v>1.5241882E-2</v>
      </c>
      <c r="I9" s="8">
        <v>0</v>
      </c>
      <c r="J9" s="8">
        <v>0</v>
      </c>
      <c r="K9" s="8">
        <v>0</v>
      </c>
      <c r="L9" s="8">
        <v>5.3191489000000002E-2</v>
      </c>
      <c r="M9" s="8">
        <v>0</v>
      </c>
      <c r="N9" s="8">
        <v>0</v>
      </c>
      <c r="O9" s="8">
        <v>0</v>
      </c>
      <c r="P9" s="8">
        <v>2.2744502999999999E-2</v>
      </c>
      <c r="Q9" s="8">
        <v>3.3751204999999999E-2</v>
      </c>
      <c r="R9" s="8">
        <f t="shared" si="0"/>
        <v>1.07456835E-2</v>
      </c>
    </row>
    <row r="10" spans="1:18" x14ac:dyDescent="0.4">
      <c r="A10" s="3" t="s">
        <v>45</v>
      </c>
      <c r="B10" s="4">
        <v>0</v>
      </c>
      <c r="C10" s="4">
        <v>0</v>
      </c>
      <c r="D10" s="4">
        <v>0</v>
      </c>
      <c r="E10" s="4">
        <v>0</v>
      </c>
      <c r="F10" s="4">
        <v>7.3578599999999991E-3</v>
      </c>
      <c r="G10" s="4">
        <v>0</v>
      </c>
      <c r="H10" s="4">
        <v>0</v>
      </c>
      <c r="I10" s="4">
        <v>3.6036039999999998E-3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f t="shared" si="0"/>
        <v>6.8509149999999993E-4</v>
      </c>
    </row>
    <row r="11" spans="1:18" x14ac:dyDescent="0.4">
      <c r="A11" s="7" t="s">
        <v>40</v>
      </c>
      <c r="B11" s="8">
        <v>0.1007371</v>
      </c>
      <c r="C11" s="8">
        <v>0.10686676000000001</v>
      </c>
      <c r="D11" s="8">
        <v>0.13950456</v>
      </c>
      <c r="E11" s="8">
        <v>0.17694641</v>
      </c>
      <c r="F11" s="8">
        <v>0.10434783</v>
      </c>
      <c r="G11" s="8">
        <v>0.11026616</v>
      </c>
      <c r="H11" s="8">
        <v>0.11928429</v>
      </c>
      <c r="I11" s="8">
        <v>5.8858859999999999E-2</v>
      </c>
      <c r="J11" s="8">
        <v>7.0815450000000002E-2</v>
      </c>
      <c r="K11" s="8">
        <v>7.0697670000000004E-2</v>
      </c>
      <c r="L11" s="8">
        <v>0.24734043</v>
      </c>
      <c r="M11" s="8">
        <v>8.7412589999999998E-2</v>
      </c>
      <c r="N11" s="8">
        <v>0.12665684999999999</v>
      </c>
      <c r="O11" s="8">
        <v>0</v>
      </c>
      <c r="P11" s="8">
        <v>8.1880209999999995E-2</v>
      </c>
      <c r="Q11" s="8">
        <v>5.4001929999999997E-2</v>
      </c>
      <c r="R11" s="8">
        <f t="shared" si="0"/>
        <v>0.10347606875</v>
      </c>
    </row>
    <row r="12" spans="1:18" x14ac:dyDescent="0.4">
      <c r="A12" s="3" t="s">
        <v>37</v>
      </c>
      <c r="B12" s="4">
        <v>1.7199017E-2</v>
      </c>
      <c r="C12" s="4">
        <v>4.7748976999999998E-2</v>
      </c>
      <c r="D12" s="4">
        <v>1.5645372000000001E-2</v>
      </c>
      <c r="E12" s="4">
        <v>1.4155713E-2</v>
      </c>
      <c r="F12" s="4">
        <v>4.8829431E-2</v>
      </c>
      <c r="G12" s="4">
        <v>2.9657795000000001E-2</v>
      </c>
      <c r="H12" s="4">
        <v>9.9403579999999998E-3</v>
      </c>
      <c r="I12" s="4">
        <v>6.0660660999999991E-2</v>
      </c>
      <c r="J12" s="4">
        <v>1.6094421000000001E-2</v>
      </c>
      <c r="K12" s="4">
        <v>1.4883721000000001E-2</v>
      </c>
      <c r="L12" s="4">
        <v>2.6595745E-2</v>
      </c>
      <c r="M12" s="4">
        <v>1.0489510000000001E-2</v>
      </c>
      <c r="N12" s="4">
        <v>1.4727541E-2</v>
      </c>
      <c r="O12" s="4">
        <v>0</v>
      </c>
      <c r="P12" s="4">
        <v>1.5163002E-2</v>
      </c>
      <c r="Q12" s="4">
        <v>2.7965284E-2</v>
      </c>
      <c r="R12" s="4">
        <f t="shared" si="0"/>
        <v>2.3109784249999998E-2</v>
      </c>
    </row>
    <row r="13" spans="1:18" x14ac:dyDescent="0.4">
      <c r="A13" s="7" t="s">
        <v>51</v>
      </c>
      <c r="B13" s="8">
        <v>0</v>
      </c>
      <c r="C13" s="8">
        <v>2.273761E-3</v>
      </c>
      <c r="D13" s="8">
        <v>1.955671E-3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8.1585080000000001E-3</v>
      </c>
      <c r="N13" s="8">
        <v>0</v>
      </c>
      <c r="O13" s="8">
        <v>0</v>
      </c>
      <c r="P13" s="8">
        <v>2.8809703999999998E-2</v>
      </c>
      <c r="Q13" s="8">
        <v>1.6393443000000001E-2</v>
      </c>
      <c r="R13" s="8">
        <f t="shared" si="0"/>
        <v>3.5994429374999999E-3</v>
      </c>
    </row>
    <row r="14" spans="1:18" x14ac:dyDescent="0.4">
      <c r="A14" s="3" t="s">
        <v>54</v>
      </c>
      <c r="B14" s="4">
        <v>4.0950040000000002E-3</v>
      </c>
      <c r="C14" s="4">
        <v>1.8190089999999999E-3</v>
      </c>
      <c r="D14" s="4">
        <v>0</v>
      </c>
      <c r="E14" s="4">
        <v>0</v>
      </c>
      <c r="F14" s="4">
        <v>1.8060201000000001E-2</v>
      </c>
      <c r="G14" s="4">
        <v>2.1292775999999999E-2</v>
      </c>
      <c r="H14" s="4">
        <v>0</v>
      </c>
      <c r="I14" s="4">
        <v>6.1261260999999997E-2</v>
      </c>
      <c r="J14" s="4">
        <v>2.1459230000000001E-3</v>
      </c>
      <c r="K14" s="4">
        <v>4.6511629999999998E-3</v>
      </c>
      <c r="L14" s="4">
        <v>0</v>
      </c>
      <c r="M14" s="4">
        <v>0</v>
      </c>
      <c r="N14" s="4">
        <v>0</v>
      </c>
      <c r="O14" s="4">
        <v>0</v>
      </c>
      <c r="P14" s="4">
        <v>8.339651E-3</v>
      </c>
      <c r="Q14" s="4">
        <v>1.2536162E-2</v>
      </c>
      <c r="R14" s="4">
        <f t="shared" si="0"/>
        <v>8.3875718749999995E-3</v>
      </c>
    </row>
    <row r="15" spans="1:18" x14ac:dyDescent="0.4">
      <c r="A15" s="7" t="s">
        <v>42</v>
      </c>
      <c r="B15" s="8">
        <v>0</v>
      </c>
      <c r="C15" s="8">
        <v>9.5497949999999998E-3</v>
      </c>
      <c r="D15" s="8">
        <v>2.2816166999999998E-2</v>
      </c>
      <c r="E15" s="8">
        <v>0</v>
      </c>
      <c r="F15" s="8">
        <v>1.8729097E-2</v>
      </c>
      <c r="G15" s="8">
        <v>1.5209125E-2</v>
      </c>
      <c r="H15" s="8">
        <v>9.2776669999999999E-3</v>
      </c>
      <c r="I15" s="8">
        <v>7.8078080000000003E-3</v>
      </c>
      <c r="J15" s="8">
        <v>4.2918449999999999E-3</v>
      </c>
      <c r="K15" s="8">
        <v>7.4418599999999998E-3</v>
      </c>
      <c r="L15" s="8">
        <v>0</v>
      </c>
      <c r="M15" s="8">
        <v>1.8648018999999998E-2</v>
      </c>
      <c r="N15" s="8">
        <v>0</v>
      </c>
      <c r="O15" s="8">
        <v>0</v>
      </c>
      <c r="P15" s="8">
        <v>2.5018953999999999E-2</v>
      </c>
      <c r="Q15" s="8">
        <v>1.4464802000000001E-2</v>
      </c>
      <c r="R15" s="8">
        <f t="shared" si="0"/>
        <v>9.5784461875000008E-3</v>
      </c>
    </row>
    <row r="16" spans="1:18" x14ac:dyDescent="0.4">
      <c r="A16" s="3" t="s">
        <v>50</v>
      </c>
      <c r="B16" s="4">
        <v>0</v>
      </c>
      <c r="C16" s="4">
        <v>0</v>
      </c>
      <c r="D16" s="4">
        <v>0</v>
      </c>
      <c r="E16" s="4">
        <v>0</v>
      </c>
      <c r="F16" s="4">
        <v>6.0200669999999996E-3</v>
      </c>
      <c r="G16" s="4">
        <v>0</v>
      </c>
      <c r="H16" s="4">
        <v>0</v>
      </c>
      <c r="I16" s="4">
        <v>7.2072070000000002E-3</v>
      </c>
      <c r="J16" s="4">
        <v>3.218884E-3</v>
      </c>
      <c r="K16" s="4">
        <v>6.5116280000000002E-3</v>
      </c>
      <c r="L16" s="4">
        <v>0</v>
      </c>
      <c r="M16" s="4">
        <v>0</v>
      </c>
      <c r="N16" s="4">
        <v>0</v>
      </c>
      <c r="O16" s="4">
        <v>0</v>
      </c>
      <c r="P16" s="4">
        <v>3.7907510000000002E-3</v>
      </c>
      <c r="Q16" s="4">
        <v>4.821601E-3</v>
      </c>
      <c r="R16" s="4">
        <f t="shared" si="0"/>
        <v>1.9731336250000003E-3</v>
      </c>
    </row>
    <row r="17" spans="1:18" x14ac:dyDescent="0.4">
      <c r="A17" s="7" t="s">
        <v>23</v>
      </c>
      <c r="B17" s="8">
        <v>8.1900081999999996E-3</v>
      </c>
      <c r="C17" s="8">
        <v>0</v>
      </c>
      <c r="D17" s="8">
        <v>3.2594524000000001E-3</v>
      </c>
      <c r="E17" s="8">
        <v>0</v>
      </c>
      <c r="F17" s="8">
        <v>2.6755853E-3</v>
      </c>
      <c r="G17" s="8">
        <v>1.2167300400000001E-2</v>
      </c>
      <c r="H17" s="8">
        <v>0</v>
      </c>
      <c r="I17" s="8">
        <v>5.285285289999999E-2</v>
      </c>
      <c r="J17" s="8">
        <v>2.1459227E-3</v>
      </c>
      <c r="K17" s="8">
        <v>2.7906977000000002E-3</v>
      </c>
      <c r="L17" s="8">
        <v>1.06382979E-2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f t="shared" si="0"/>
        <v>5.9200073437499987E-3</v>
      </c>
    </row>
    <row r="18" spans="1:18" x14ac:dyDescent="0.4">
      <c r="A18" s="3" t="s">
        <v>46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4.5627380000000002E-3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5.7859210000000003E-3</v>
      </c>
      <c r="R18" s="4">
        <f t="shared" si="0"/>
        <v>6.4679118749999998E-4</v>
      </c>
    </row>
    <row r="19" spans="1:18" x14ac:dyDescent="0.4">
      <c r="A19" s="7" t="s">
        <v>49</v>
      </c>
      <c r="B19" s="8">
        <v>0</v>
      </c>
      <c r="C19" s="8">
        <v>0</v>
      </c>
      <c r="D19" s="8">
        <v>2.6075619999999999E-3</v>
      </c>
      <c r="E19" s="8">
        <v>1.8200201999999999E-2</v>
      </c>
      <c r="F19" s="8">
        <v>1.0033445E-2</v>
      </c>
      <c r="G19" s="8">
        <v>0</v>
      </c>
      <c r="H19" s="8">
        <v>6.6269049999999998E-3</v>
      </c>
      <c r="I19" s="8">
        <v>2.4024020000000001E-3</v>
      </c>
      <c r="J19" s="8">
        <v>0</v>
      </c>
      <c r="K19" s="8">
        <v>0</v>
      </c>
      <c r="L19" s="8">
        <v>0</v>
      </c>
      <c r="M19" s="8">
        <v>8.1585080000000001E-3</v>
      </c>
      <c r="N19" s="8">
        <v>1.4727541E-2</v>
      </c>
      <c r="O19" s="8">
        <v>0</v>
      </c>
      <c r="P19" s="8">
        <v>0</v>
      </c>
      <c r="Q19" s="8">
        <v>0</v>
      </c>
      <c r="R19" s="8">
        <f t="shared" si="0"/>
        <v>3.9222853125E-3</v>
      </c>
    </row>
    <row r="20" spans="1:18" x14ac:dyDescent="0.4">
      <c r="A20" s="3" t="s">
        <v>48</v>
      </c>
      <c r="B20" s="4">
        <v>1.8018018E-2</v>
      </c>
      <c r="C20" s="4">
        <v>0</v>
      </c>
      <c r="D20" s="4">
        <v>0</v>
      </c>
      <c r="E20" s="4">
        <v>5.0556120000000001E-3</v>
      </c>
      <c r="F20" s="4">
        <v>0</v>
      </c>
      <c r="G20" s="4">
        <v>0</v>
      </c>
      <c r="H20" s="4">
        <v>0</v>
      </c>
      <c r="I20" s="4">
        <v>7.2072070000000002E-3</v>
      </c>
      <c r="J20" s="4">
        <v>4.2918449999999999E-3</v>
      </c>
      <c r="K20" s="4">
        <v>0</v>
      </c>
      <c r="L20" s="4">
        <v>0</v>
      </c>
      <c r="M20" s="4">
        <v>2.331002E-3</v>
      </c>
      <c r="N20" s="4">
        <v>0</v>
      </c>
      <c r="O20" s="4">
        <v>0</v>
      </c>
      <c r="P20" s="4">
        <v>5.3070510000000001E-3</v>
      </c>
      <c r="Q20" s="4">
        <v>0</v>
      </c>
      <c r="R20" s="4">
        <f t="shared" si="0"/>
        <v>2.6381709375E-3</v>
      </c>
    </row>
    <row r="21" spans="1:18" x14ac:dyDescent="0.4">
      <c r="A21" s="7" t="s">
        <v>41</v>
      </c>
      <c r="B21" s="8">
        <v>2.3751023999999999E-2</v>
      </c>
      <c r="C21" s="8">
        <v>4.547522E-3</v>
      </c>
      <c r="D21" s="8">
        <v>3.2594519999999999E-3</v>
      </c>
      <c r="E21" s="8">
        <v>1.1122346E-2</v>
      </c>
      <c r="F21" s="8">
        <v>6.688963E-3</v>
      </c>
      <c r="G21" s="8">
        <v>9.8859320000000001E-3</v>
      </c>
      <c r="H21" s="8">
        <v>8.6149769999999994E-3</v>
      </c>
      <c r="I21" s="8">
        <v>1.6816817000000001E-2</v>
      </c>
      <c r="J21" s="8">
        <v>7.5107300000000002E-3</v>
      </c>
      <c r="K21" s="8">
        <v>1.8604651E-2</v>
      </c>
      <c r="L21" s="8">
        <v>2.1276595999999998E-2</v>
      </c>
      <c r="M21" s="8">
        <v>8.1585080000000001E-3</v>
      </c>
      <c r="N21" s="8">
        <v>0</v>
      </c>
      <c r="O21" s="8">
        <v>0</v>
      </c>
      <c r="P21" s="8">
        <v>1.4404851999999999E-2</v>
      </c>
      <c r="Q21" s="8">
        <v>4.821601E-3</v>
      </c>
      <c r="R21" s="8">
        <f t="shared" si="0"/>
        <v>9.9664981875000006E-3</v>
      </c>
    </row>
    <row r="22" spans="1:18" x14ac:dyDescent="0.4">
      <c r="A22" s="3" t="s">
        <v>44</v>
      </c>
      <c r="B22" s="4">
        <v>0</v>
      </c>
      <c r="C22" s="4">
        <v>7.7307870000000002E-3</v>
      </c>
      <c r="D22" s="4">
        <v>0</v>
      </c>
      <c r="E22" s="4">
        <v>0</v>
      </c>
      <c r="F22" s="4">
        <v>0</v>
      </c>
      <c r="G22" s="4">
        <v>2.2813690000000001E-3</v>
      </c>
      <c r="H22" s="4">
        <v>0</v>
      </c>
      <c r="I22" s="4">
        <v>1.8018019999999999E-3</v>
      </c>
      <c r="J22" s="4">
        <v>0</v>
      </c>
      <c r="K22" s="4">
        <v>9.3023259999999997E-3</v>
      </c>
      <c r="L22" s="4">
        <v>0</v>
      </c>
      <c r="M22" s="4">
        <v>0</v>
      </c>
      <c r="N22" s="4">
        <v>0</v>
      </c>
      <c r="O22" s="4">
        <v>0</v>
      </c>
      <c r="P22" s="4">
        <v>1.2130402E-2</v>
      </c>
      <c r="Q22" s="4">
        <v>0</v>
      </c>
      <c r="R22" s="4">
        <f t="shared" si="0"/>
        <v>2.0779178749999998E-3</v>
      </c>
    </row>
    <row r="23" spans="1:18" x14ac:dyDescent="0.4">
      <c r="A23" s="7" t="s">
        <v>35</v>
      </c>
      <c r="B23" s="8">
        <v>0.12940213</v>
      </c>
      <c r="C23" s="8">
        <v>0.25011369</v>
      </c>
      <c r="D23" s="8">
        <v>0.12059974</v>
      </c>
      <c r="E23" s="8">
        <v>0.12537917000000001</v>
      </c>
      <c r="F23" s="8">
        <v>0.30501672000000002</v>
      </c>
      <c r="G23" s="8">
        <v>0.18707224</v>
      </c>
      <c r="H23" s="8">
        <v>0.19350563000000001</v>
      </c>
      <c r="I23" s="8">
        <v>0.24984985000000001</v>
      </c>
      <c r="J23" s="8">
        <v>0.21351930999999999</v>
      </c>
      <c r="K23" s="8">
        <v>0.25767442000000002</v>
      </c>
      <c r="L23" s="8">
        <v>0.11968085000000001</v>
      </c>
      <c r="M23" s="8">
        <v>0.15617716000000001</v>
      </c>
      <c r="N23" s="8">
        <v>0.12960236</v>
      </c>
      <c r="O23" s="8">
        <v>0</v>
      </c>
      <c r="P23" s="8">
        <v>0.25852919000000002</v>
      </c>
      <c r="Q23" s="8">
        <v>0.25168755999999998</v>
      </c>
      <c r="R23" s="8">
        <f t="shared" si="0"/>
        <v>0.18423812624999997</v>
      </c>
    </row>
    <row r="24" spans="1:18" x14ac:dyDescent="0.4">
      <c r="A24" s="3" t="s">
        <v>43</v>
      </c>
      <c r="B24" s="4">
        <v>2.7846027999999998E-2</v>
      </c>
      <c r="C24" s="4">
        <v>0</v>
      </c>
      <c r="D24" s="4">
        <v>0</v>
      </c>
      <c r="E24" s="4">
        <v>5.0556120000000001E-3</v>
      </c>
      <c r="F24" s="4">
        <v>1.4046823E-2</v>
      </c>
      <c r="G24" s="4">
        <v>1.0646388E-2</v>
      </c>
      <c r="H24" s="4">
        <v>0</v>
      </c>
      <c r="I24" s="4">
        <v>1.0810811E-2</v>
      </c>
      <c r="J24" s="4">
        <v>1.9313304999999999E-2</v>
      </c>
      <c r="K24" s="4">
        <v>4.2790698000000002E-2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3.8572810000000002E-3</v>
      </c>
      <c r="R24" s="4">
        <f t="shared" si="0"/>
        <v>8.3979341249999992E-3</v>
      </c>
    </row>
    <row r="25" spans="1:18" x14ac:dyDescent="0.4">
      <c r="A25" s="7" t="s">
        <v>52</v>
      </c>
      <c r="B25" s="8">
        <v>3.1122031000000001E-2</v>
      </c>
      <c r="C25" s="8">
        <v>0</v>
      </c>
      <c r="D25" s="8">
        <v>0</v>
      </c>
      <c r="E25" s="8">
        <v>0</v>
      </c>
      <c r="F25" s="8">
        <v>1.3377926E-2</v>
      </c>
      <c r="G25" s="8">
        <v>0</v>
      </c>
      <c r="H25" s="8">
        <v>0</v>
      </c>
      <c r="I25" s="8">
        <v>3.8438437999999998E-2</v>
      </c>
      <c r="J25" s="8">
        <v>3.2188841000000003E-2</v>
      </c>
      <c r="K25" s="8">
        <v>1.8604651E-2</v>
      </c>
      <c r="L25" s="8">
        <v>0</v>
      </c>
      <c r="M25" s="8">
        <v>2.4475523999999999E-2</v>
      </c>
      <c r="N25" s="8">
        <v>0</v>
      </c>
      <c r="O25" s="8">
        <v>0</v>
      </c>
      <c r="P25" s="8">
        <v>0</v>
      </c>
      <c r="Q25" s="8">
        <v>1.8322082999999999E-2</v>
      </c>
      <c r="R25" s="8">
        <f t="shared" si="0"/>
        <v>1.1033093374999999E-2</v>
      </c>
    </row>
  </sheetData>
  <autoFilter ref="A3:R25" xr:uid="{00000000-0009-0000-0000-00000B000000}"/>
  <mergeCells count="2">
    <mergeCell ref="A2:R2"/>
    <mergeCell ref="A1:R1"/>
  </mergeCells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18" width="11" customWidth="1"/>
  </cols>
  <sheetData>
    <row r="1" spans="1:18" ht="28.05" customHeight="1" x14ac:dyDescent="0.4">
      <c r="A1" s="23" t="s">
        <v>228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4.049999999999997" customHeight="1" x14ac:dyDescent="0.4">
      <c r="A2" s="26" t="s">
        <v>189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1.95" customHeight="1" x14ac:dyDescent="0.4">
      <c r="A3" s="19" t="s">
        <v>229</v>
      </c>
      <c r="B3" s="19" t="s">
        <v>191</v>
      </c>
      <c r="C3" s="19" t="s">
        <v>192</v>
      </c>
      <c r="D3" s="19" t="s">
        <v>193</v>
      </c>
      <c r="E3" s="19" t="s">
        <v>194</v>
      </c>
      <c r="F3" s="19" t="s">
        <v>195</v>
      </c>
      <c r="G3" s="19" t="s">
        <v>196</v>
      </c>
      <c r="H3" s="19" t="s">
        <v>197</v>
      </c>
      <c r="I3" s="19" t="s">
        <v>198</v>
      </c>
      <c r="J3" s="19" t="s">
        <v>199</v>
      </c>
      <c r="K3" s="19" t="s">
        <v>200</v>
      </c>
      <c r="L3" s="19" t="s">
        <v>201</v>
      </c>
      <c r="M3" s="19" t="s">
        <v>202</v>
      </c>
      <c r="N3" s="19" t="s">
        <v>203</v>
      </c>
      <c r="O3" s="19" t="s">
        <v>204</v>
      </c>
      <c r="P3" s="19" t="s">
        <v>205</v>
      </c>
      <c r="Q3" s="19" t="s">
        <v>206</v>
      </c>
      <c r="R3" s="19" t="s">
        <v>207</v>
      </c>
    </row>
    <row r="4" spans="1:18" x14ac:dyDescent="0.4">
      <c r="A4" s="3" t="s">
        <v>80</v>
      </c>
      <c r="B4" s="4">
        <v>8.3449240000000001E-3</v>
      </c>
      <c r="C4" s="4">
        <v>9.3984959999999992E-3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1.5238095E-2</v>
      </c>
      <c r="J4" s="4">
        <v>0</v>
      </c>
      <c r="K4" s="4">
        <v>5.5379749999999997E-3</v>
      </c>
      <c r="L4" s="4">
        <v>0</v>
      </c>
      <c r="M4" s="4">
        <v>6.0060060000000004E-3</v>
      </c>
      <c r="N4" s="4">
        <v>0</v>
      </c>
      <c r="O4" s="4">
        <v>0</v>
      </c>
      <c r="P4" s="4">
        <v>0</v>
      </c>
      <c r="Q4" s="4">
        <v>2.865330000000001E-3</v>
      </c>
      <c r="R4" s="4">
        <f t="shared" ref="R4:R47" si="0">AVERAGE(B4:Q4)</f>
        <v>2.9619266250000002E-3</v>
      </c>
    </row>
    <row r="5" spans="1:18" x14ac:dyDescent="0.4">
      <c r="A5" s="7" t="s">
        <v>73</v>
      </c>
      <c r="B5" s="8">
        <v>2.7816411999999999E-2</v>
      </c>
      <c r="C5" s="8">
        <v>1.0651628999999999E-2</v>
      </c>
      <c r="D5" s="8">
        <v>9.1449470000000005E-3</v>
      </c>
      <c r="E5" s="8">
        <v>5.8139530000000002E-3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1.607717E-3</v>
      </c>
      <c r="M5" s="8">
        <v>0</v>
      </c>
      <c r="N5" s="8">
        <v>3.0832479999999989E-3</v>
      </c>
      <c r="O5" s="8">
        <v>6.2780270000000003E-3</v>
      </c>
      <c r="P5" s="8">
        <v>1.3953488E-2</v>
      </c>
      <c r="Q5" s="8">
        <v>4.2979940000000003E-3</v>
      </c>
      <c r="R5" s="8">
        <f t="shared" si="0"/>
        <v>5.1654634374999992E-3</v>
      </c>
    </row>
    <row r="6" spans="1:18" x14ac:dyDescent="0.4">
      <c r="A6" s="3" t="s">
        <v>95</v>
      </c>
      <c r="B6" s="4">
        <v>1.3908205999999999E-2</v>
      </c>
      <c r="C6" s="4">
        <v>0</v>
      </c>
      <c r="D6" s="4">
        <v>0</v>
      </c>
      <c r="E6" s="4">
        <v>0</v>
      </c>
      <c r="F6" s="4">
        <v>7.1942450000000002E-3</v>
      </c>
      <c r="G6" s="4">
        <v>0</v>
      </c>
      <c r="H6" s="4">
        <v>0</v>
      </c>
      <c r="I6" s="4">
        <v>0</v>
      </c>
      <c r="J6" s="4">
        <v>0</v>
      </c>
      <c r="K6" s="4">
        <v>7.120253E-3</v>
      </c>
      <c r="L6" s="4">
        <v>1.9292605000000001E-2</v>
      </c>
      <c r="M6" s="4">
        <v>0</v>
      </c>
      <c r="N6" s="4">
        <v>0</v>
      </c>
      <c r="O6" s="4">
        <v>0</v>
      </c>
      <c r="P6" s="4">
        <v>2.3255814E-2</v>
      </c>
      <c r="Q6" s="4">
        <v>6.446991E-3</v>
      </c>
      <c r="R6" s="4">
        <f t="shared" si="0"/>
        <v>4.8261321250000003E-3</v>
      </c>
    </row>
    <row r="7" spans="1:18" x14ac:dyDescent="0.4">
      <c r="A7" s="7" t="s">
        <v>57</v>
      </c>
      <c r="B7" s="8">
        <v>0</v>
      </c>
      <c r="C7" s="8">
        <v>0</v>
      </c>
      <c r="D7" s="8">
        <v>3.657979E-3</v>
      </c>
      <c r="E7" s="8">
        <v>1.3565891E-2</v>
      </c>
      <c r="F7" s="8">
        <v>2.0863309E-2</v>
      </c>
      <c r="G7" s="8">
        <v>5.9773829000000001E-2</v>
      </c>
      <c r="H7" s="8">
        <v>0</v>
      </c>
      <c r="I7" s="8">
        <v>0</v>
      </c>
      <c r="J7" s="8">
        <v>4.5454550000000003E-3</v>
      </c>
      <c r="K7" s="8">
        <v>2.7689873E-2</v>
      </c>
      <c r="L7" s="8">
        <v>0</v>
      </c>
      <c r="M7" s="8">
        <v>4.5045044999999999E-2</v>
      </c>
      <c r="N7" s="8">
        <v>3.6998971999999998E-2</v>
      </c>
      <c r="O7" s="8">
        <v>1.0762331999999999E-2</v>
      </c>
      <c r="P7" s="8">
        <v>2.3255814E-2</v>
      </c>
      <c r="Q7" s="8">
        <v>4.2979940000000003E-3</v>
      </c>
      <c r="R7" s="8">
        <f t="shared" si="0"/>
        <v>1.56535308125E-2</v>
      </c>
    </row>
    <row r="8" spans="1:18" x14ac:dyDescent="0.4">
      <c r="A8" s="3" t="s">
        <v>92</v>
      </c>
      <c r="B8" s="4">
        <v>0</v>
      </c>
      <c r="C8" s="4">
        <v>1.1904761999999999E-2</v>
      </c>
      <c r="D8" s="4">
        <v>1.0059442E-2</v>
      </c>
      <c r="E8" s="4">
        <v>2.9069769999999998E-3</v>
      </c>
      <c r="F8" s="4">
        <v>0</v>
      </c>
      <c r="G8" s="4">
        <v>0</v>
      </c>
      <c r="H8" s="4">
        <v>8.0321290000000007E-3</v>
      </c>
      <c r="I8" s="4">
        <v>1.3333332999999999E-2</v>
      </c>
      <c r="J8" s="4">
        <v>1.3636364E-2</v>
      </c>
      <c r="K8" s="4">
        <v>7.9113919999999997E-3</v>
      </c>
      <c r="L8" s="4">
        <v>6.430868000000001E-3</v>
      </c>
      <c r="M8" s="4">
        <v>9.0090090000000001E-3</v>
      </c>
      <c r="N8" s="4">
        <v>0</v>
      </c>
      <c r="O8" s="4">
        <v>0</v>
      </c>
      <c r="P8" s="4">
        <v>6.2015500000000001E-3</v>
      </c>
      <c r="Q8" s="4">
        <v>3.5816620000000011E-3</v>
      </c>
      <c r="R8" s="4">
        <f t="shared" si="0"/>
        <v>5.812968E-3</v>
      </c>
    </row>
    <row r="9" spans="1:18" x14ac:dyDescent="0.4">
      <c r="A9" s="7" t="s">
        <v>76</v>
      </c>
      <c r="B9" s="8">
        <v>0.11265646999999999</v>
      </c>
      <c r="C9" s="8">
        <v>8.77193E-2</v>
      </c>
      <c r="D9" s="8">
        <v>7.0873340000000007E-2</v>
      </c>
      <c r="E9" s="8">
        <v>5.4748060000000001E-2</v>
      </c>
      <c r="F9" s="8">
        <v>7.6978420000000006E-2</v>
      </c>
      <c r="G9" s="8">
        <v>7.5928919999999997E-2</v>
      </c>
      <c r="H9" s="8">
        <v>0.1124498</v>
      </c>
      <c r="I9" s="8">
        <v>0.12380952000000001</v>
      </c>
      <c r="J9" s="8">
        <v>1.9480520000000001E-2</v>
      </c>
      <c r="K9" s="8">
        <v>6.4873420000000001E-2</v>
      </c>
      <c r="L9" s="8">
        <v>5.9485529999999988E-2</v>
      </c>
      <c r="M9" s="8">
        <v>4.8048050000000002E-2</v>
      </c>
      <c r="N9" s="8">
        <v>5.5498460000000013E-2</v>
      </c>
      <c r="O9" s="8">
        <v>8.5201789999999999E-2</v>
      </c>
      <c r="P9" s="8">
        <v>4.0310079999999998E-2</v>
      </c>
      <c r="Q9" s="8">
        <v>5.9455590000000003E-2</v>
      </c>
      <c r="R9" s="8">
        <f t="shared" si="0"/>
        <v>7.1719829375000002E-2</v>
      </c>
    </row>
    <row r="10" spans="1:18" x14ac:dyDescent="0.4">
      <c r="A10" s="3" t="s">
        <v>94</v>
      </c>
      <c r="B10" s="4">
        <v>8.8085300000000002E-3</v>
      </c>
      <c r="C10" s="4">
        <v>1.1904761999999999E-2</v>
      </c>
      <c r="D10" s="4">
        <v>3.657979E-3</v>
      </c>
      <c r="E10" s="4">
        <v>0</v>
      </c>
      <c r="F10" s="4">
        <v>7.1942450000000002E-3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5.0050049999999999E-3</v>
      </c>
      <c r="N10" s="4">
        <v>7.1942450000000002E-3</v>
      </c>
      <c r="O10" s="4">
        <v>1.1659193E-2</v>
      </c>
      <c r="P10" s="4">
        <v>0</v>
      </c>
      <c r="Q10" s="4">
        <v>0</v>
      </c>
      <c r="R10" s="4">
        <f t="shared" si="0"/>
        <v>3.4639974375000001E-3</v>
      </c>
    </row>
    <row r="11" spans="1:18" x14ac:dyDescent="0.4">
      <c r="A11" s="7" t="s">
        <v>83</v>
      </c>
      <c r="B11" s="8">
        <v>1.0662958E-2</v>
      </c>
      <c r="C11" s="8">
        <v>1.8796991999999998E-2</v>
      </c>
      <c r="D11" s="8">
        <v>1.3260174E-2</v>
      </c>
      <c r="E11" s="8">
        <v>9.2054259999999992E-3</v>
      </c>
      <c r="F11" s="8">
        <v>4.5323741000000001E-2</v>
      </c>
      <c r="G11" s="8">
        <v>0</v>
      </c>
      <c r="H11" s="8">
        <v>0</v>
      </c>
      <c r="I11" s="8">
        <v>0</v>
      </c>
      <c r="J11" s="8">
        <v>8.441558E-3</v>
      </c>
      <c r="K11" s="8">
        <v>2.6898734000000001E-2</v>
      </c>
      <c r="L11" s="8">
        <v>0</v>
      </c>
      <c r="M11" s="8">
        <v>1.3013013E-2</v>
      </c>
      <c r="N11" s="8">
        <v>0</v>
      </c>
      <c r="O11" s="8">
        <v>0</v>
      </c>
      <c r="P11" s="8">
        <v>0</v>
      </c>
      <c r="Q11" s="8">
        <v>0</v>
      </c>
      <c r="R11" s="8">
        <f t="shared" si="0"/>
        <v>9.10016225E-3</v>
      </c>
    </row>
    <row r="12" spans="1:18" x14ac:dyDescent="0.4">
      <c r="A12" s="3" t="s">
        <v>75</v>
      </c>
      <c r="B12" s="4">
        <v>5.5632820000000001E-3</v>
      </c>
      <c r="C12" s="4">
        <v>4.3859650000000003E-3</v>
      </c>
      <c r="D12" s="4">
        <v>1.0973937E-2</v>
      </c>
      <c r="E12" s="4">
        <v>0</v>
      </c>
      <c r="F12" s="4">
        <v>0</v>
      </c>
      <c r="G12" s="4">
        <v>0</v>
      </c>
      <c r="H12" s="4">
        <v>0</v>
      </c>
      <c r="I12" s="4">
        <v>1.5238095E-2</v>
      </c>
      <c r="J12" s="4">
        <v>0</v>
      </c>
      <c r="K12" s="4">
        <v>1.5822784999999999E-2</v>
      </c>
      <c r="L12" s="4">
        <v>0</v>
      </c>
      <c r="M12" s="4">
        <v>0</v>
      </c>
      <c r="N12" s="4">
        <v>1.5416238000000001E-2</v>
      </c>
      <c r="O12" s="4">
        <v>0</v>
      </c>
      <c r="P12" s="4">
        <v>0</v>
      </c>
      <c r="Q12" s="4">
        <v>5.0143269999999998E-3</v>
      </c>
      <c r="R12" s="4">
        <f t="shared" si="0"/>
        <v>4.5259143125000005E-3</v>
      </c>
    </row>
    <row r="13" spans="1:18" x14ac:dyDescent="0.4">
      <c r="A13" s="7" t="s">
        <v>66</v>
      </c>
      <c r="B13" s="8">
        <v>1.2980992E-2</v>
      </c>
      <c r="C13" s="8">
        <v>1.566416E-2</v>
      </c>
      <c r="D13" s="8">
        <v>1.7832647E-2</v>
      </c>
      <c r="E13" s="8">
        <v>2.6162791000000001E-2</v>
      </c>
      <c r="F13" s="8">
        <v>5.2517986000000003E-2</v>
      </c>
      <c r="G13" s="8">
        <v>0</v>
      </c>
      <c r="H13" s="8">
        <v>7.2289159999999993E-3</v>
      </c>
      <c r="I13" s="8">
        <v>0</v>
      </c>
      <c r="J13" s="8">
        <v>0</v>
      </c>
      <c r="K13" s="8">
        <v>2.4525315999999998E-2</v>
      </c>
      <c r="L13" s="8">
        <v>2.0900321999999999E-2</v>
      </c>
      <c r="M13" s="8">
        <v>2.3023023E-2</v>
      </c>
      <c r="N13" s="8">
        <v>1.9527235E-2</v>
      </c>
      <c r="O13" s="8">
        <v>4.3049326999999998E-2</v>
      </c>
      <c r="P13" s="8">
        <v>2.6356589E-2</v>
      </c>
      <c r="Q13" s="8">
        <v>1.7191977000000001E-2</v>
      </c>
      <c r="R13" s="8">
        <f t="shared" si="0"/>
        <v>1.9185080062500002E-2</v>
      </c>
    </row>
    <row r="14" spans="1:18" x14ac:dyDescent="0.4">
      <c r="A14" s="3" t="s">
        <v>93</v>
      </c>
      <c r="B14" s="4">
        <v>0</v>
      </c>
      <c r="C14" s="4">
        <v>5.0125309999999998E-3</v>
      </c>
      <c r="D14" s="4">
        <v>2.286237E-3</v>
      </c>
      <c r="E14" s="4">
        <v>1.937984E-3</v>
      </c>
      <c r="F14" s="4">
        <v>1.1510790999999999E-2</v>
      </c>
      <c r="G14" s="4">
        <v>0</v>
      </c>
      <c r="H14" s="4">
        <v>4.0160639999999997E-3</v>
      </c>
      <c r="I14" s="4">
        <v>0</v>
      </c>
      <c r="J14" s="4">
        <v>2.5974029999999999E-3</v>
      </c>
      <c r="K14" s="4">
        <v>0</v>
      </c>
      <c r="L14" s="4">
        <v>0</v>
      </c>
      <c r="M14" s="4">
        <v>4.0040040000000002E-3</v>
      </c>
      <c r="N14" s="4">
        <v>0</v>
      </c>
      <c r="O14" s="4">
        <v>0</v>
      </c>
      <c r="P14" s="4">
        <v>0</v>
      </c>
      <c r="Q14" s="4">
        <v>2.1489970000000001E-3</v>
      </c>
      <c r="R14" s="4">
        <f t="shared" si="0"/>
        <v>2.0946256874999998E-3</v>
      </c>
    </row>
    <row r="15" spans="1:18" x14ac:dyDescent="0.4">
      <c r="A15" s="7" t="s">
        <v>97</v>
      </c>
      <c r="B15" s="8">
        <v>2.7816410000000001E-3</v>
      </c>
      <c r="C15" s="8">
        <v>0</v>
      </c>
      <c r="D15" s="8">
        <v>0</v>
      </c>
      <c r="E15" s="8">
        <v>4.360465E-3</v>
      </c>
      <c r="F15" s="8">
        <v>0</v>
      </c>
      <c r="G15" s="8">
        <v>0</v>
      </c>
      <c r="H15" s="8">
        <v>0</v>
      </c>
      <c r="I15" s="8">
        <v>1.3333332999999999E-2</v>
      </c>
      <c r="J15" s="8">
        <v>6.4935059999999996E-3</v>
      </c>
      <c r="K15" s="8">
        <v>0</v>
      </c>
      <c r="L15" s="8">
        <v>0</v>
      </c>
      <c r="M15" s="8">
        <v>6.0060060000000004E-3</v>
      </c>
      <c r="N15" s="8">
        <v>0</v>
      </c>
      <c r="O15" s="8">
        <v>7.1748880000000008E-3</v>
      </c>
      <c r="P15" s="8">
        <v>7.7519380000000008E-3</v>
      </c>
      <c r="Q15" s="8">
        <v>0</v>
      </c>
      <c r="R15" s="8">
        <f t="shared" si="0"/>
        <v>2.9938610624999995E-3</v>
      </c>
    </row>
    <row r="16" spans="1:18" x14ac:dyDescent="0.4">
      <c r="A16" s="3" t="s">
        <v>69</v>
      </c>
      <c r="B16" s="4">
        <v>6.9077421999999999E-2</v>
      </c>
      <c r="C16" s="4">
        <v>3.7593985000000003E-2</v>
      </c>
      <c r="D16" s="4">
        <v>3.7494284000000003E-2</v>
      </c>
      <c r="E16" s="4">
        <v>3.1007752E-2</v>
      </c>
      <c r="F16" s="4">
        <v>3.4532373999999998E-2</v>
      </c>
      <c r="G16" s="4">
        <v>0</v>
      </c>
      <c r="H16" s="4">
        <v>1.9277108000000001E-2</v>
      </c>
      <c r="I16" s="4">
        <v>1.3333332999999999E-2</v>
      </c>
      <c r="J16" s="4">
        <v>1.7532467999999999E-2</v>
      </c>
      <c r="K16" s="4">
        <v>5.3006328999999998E-2</v>
      </c>
      <c r="L16" s="4">
        <v>6.1093248000000003E-2</v>
      </c>
      <c r="M16" s="4">
        <v>4.8048048000000003E-2</v>
      </c>
      <c r="N16" s="4">
        <v>2.7749229E-2</v>
      </c>
      <c r="O16" s="4">
        <v>2.2421525000000001E-2</v>
      </c>
      <c r="P16" s="4">
        <v>6.9767441999999999E-2</v>
      </c>
      <c r="Q16" s="4">
        <v>3.7249284000000001E-2</v>
      </c>
      <c r="R16" s="4">
        <f t="shared" si="0"/>
        <v>3.6198989437500002E-2</v>
      </c>
    </row>
    <row r="17" spans="1:18" x14ac:dyDescent="0.4">
      <c r="A17" s="7" t="s">
        <v>65</v>
      </c>
      <c r="B17" s="8">
        <v>7.5104312000000006E-2</v>
      </c>
      <c r="C17" s="8">
        <v>9.2731830000000001E-2</v>
      </c>
      <c r="D17" s="8">
        <v>0.130315501</v>
      </c>
      <c r="E17" s="8">
        <v>9.3992248E-2</v>
      </c>
      <c r="F17" s="8">
        <v>6.7625899000000003E-2</v>
      </c>
      <c r="G17" s="8">
        <v>0</v>
      </c>
      <c r="H17" s="8">
        <v>1.7670683E-2</v>
      </c>
      <c r="I17" s="8">
        <v>0.148571429</v>
      </c>
      <c r="J17" s="8">
        <v>0.10974026000000001</v>
      </c>
      <c r="K17" s="8">
        <v>6.8037975000000001E-2</v>
      </c>
      <c r="L17" s="8">
        <v>4.4212218999999997E-2</v>
      </c>
      <c r="M17" s="8">
        <v>5.7057057000000001E-2</v>
      </c>
      <c r="N17" s="8">
        <v>0.10688592</v>
      </c>
      <c r="O17" s="8">
        <v>1.2556054000000001E-2</v>
      </c>
      <c r="P17" s="8">
        <v>0.189147287</v>
      </c>
      <c r="Q17" s="8">
        <v>6.8767908000000003E-2</v>
      </c>
      <c r="R17" s="8">
        <f t="shared" si="0"/>
        <v>8.0151036375000012E-2</v>
      </c>
    </row>
    <row r="18" spans="1:18" x14ac:dyDescent="0.4">
      <c r="A18" s="3" t="s">
        <v>67</v>
      </c>
      <c r="B18" s="4">
        <v>6.0268889999999997E-3</v>
      </c>
      <c r="C18" s="4">
        <v>1.0025063000000001E-2</v>
      </c>
      <c r="D18" s="4">
        <v>5.029721E-3</v>
      </c>
      <c r="E18" s="4">
        <v>5.3294570000000001E-3</v>
      </c>
      <c r="F18" s="4">
        <v>9.3525180000000006E-3</v>
      </c>
      <c r="G18" s="4">
        <v>0</v>
      </c>
      <c r="H18" s="4">
        <v>0</v>
      </c>
      <c r="I18" s="4">
        <v>0</v>
      </c>
      <c r="J18" s="4">
        <v>0</v>
      </c>
      <c r="K18" s="4">
        <v>6.3291140000000003E-3</v>
      </c>
      <c r="L18" s="4">
        <v>0</v>
      </c>
      <c r="M18" s="4">
        <v>0</v>
      </c>
      <c r="N18" s="4">
        <v>9.2497429999999995E-3</v>
      </c>
      <c r="O18" s="4">
        <v>2.6008969E-2</v>
      </c>
      <c r="P18" s="4">
        <v>2.7906976999999999E-2</v>
      </c>
      <c r="Q18" s="4">
        <v>0</v>
      </c>
      <c r="R18" s="4">
        <f t="shared" si="0"/>
        <v>6.5786531875000002E-3</v>
      </c>
    </row>
    <row r="19" spans="1:18" x14ac:dyDescent="0.4">
      <c r="A19" s="7" t="s">
        <v>86</v>
      </c>
      <c r="B19" s="8">
        <v>0</v>
      </c>
      <c r="C19" s="8">
        <v>4.3859650000000003E-3</v>
      </c>
      <c r="D19" s="8">
        <v>6.4014629999999996E-3</v>
      </c>
      <c r="E19" s="8">
        <v>7.2674419999999998E-3</v>
      </c>
      <c r="F19" s="8">
        <v>0</v>
      </c>
      <c r="G19" s="8">
        <v>0</v>
      </c>
      <c r="H19" s="8">
        <v>0</v>
      </c>
      <c r="I19" s="8">
        <v>0</v>
      </c>
      <c r="J19" s="8">
        <v>3.2467529999999998E-3</v>
      </c>
      <c r="K19" s="8">
        <v>7.120253E-3</v>
      </c>
      <c r="L19" s="8">
        <v>0</v>
      </c>
      <c r="M19" s="8">
        <v>1.8018018E-2</v>
      </c>
      <c r="N19" s="8">
        <v>0</v>
      </c>
      <c r="O19" s="8">
        <v>2.6905829999999999E-3</v>
      </c>
      <c r="P19" s="8">
        <v>1.0852713E-2</v>
      </c>
      <c r="Q19" s="8">
        <v>0</v>
      </c>
      <c r="R19" s="8">
        <f t="shared" si="0"/>
        <v>3.7489493749999995E-3</v>
      </c>
    </row>
    <row r="20" spans="1:18" x14ac:dyDescent="0.4">
      <c r="A20" s="3" t="s">
        <v>58</v>
      </c>
      <c r="B20" s="4">
        <v>3.7088548999999998E-2</v>
      </c>
      <c r="C20" s="4">
        <v>2.5689223000000001E-2</v>
      </c>
      <c r="D20" s="4">
        <v>5.0754458000000002E-2</v>
      </c>
      <c r="E20" s="4">
        <v>2.6162791000000001E-2</v>
      </c>
      <c r="F20" s="4">
        <v>1.5107914E-2</v>
      </c>
      <c r="G20" s="4">
        <v>0.25848142200000002</v>
      </c>
      <c r="H20" s="4">
        <v>4.3373493999999999E-2</v>
      </c>
      <c r="I20" s="4">
        <v>0.205714286</v>
      </c>
      <c r="J20" s="4">
        <v>6.2337662000000002E-2</v>
      </c>
      <c r="K20" s="4">
        <v>2.4525315999999998E-2</v>
      </c>
      <c r="L20" s="4">
        <v>3.1350481999999999E-2</v>
      </c>
      <c r="M20" s="4">
        <v>2.5025024999999999E-2</v>
      </c>
      <c r="N20" s="4">
        <v>3.8026720999999999E-2</v>
      </c>
      <c r="O20" s="4">
        <v>3.9461883000000003E-2</v>
      </c>
      <c r="P20" s="4">
        <v>6.5116278999999999E-2</v>
      </c>
      <c r="Q20" s="4">
        <v>3.4383954000000001E-2</v>
      </c>
      <c r="R20" s="4">
        <f t="shared" si="0"/>
        <v>6.1412466187500007E-2</v>
      </c>
    </row>
    <row r="21" spans="1:18" x14ac:dyDescent="0.4">
      <c r="A21" s="7" t="s">
        <v>72</v>
      </c>
      <c r="B21" s="8">
        <v>0</v>
      </c>
      <c r="C21" s="8">
        <v>8.7719300000000007E-3</v>
      </c>
      <c r="D21" s="8">
        <v>4.572474E-3</v>
      </c>
      <c r="E21" s="8">
        <v>7.2674419999999998E-3</v>
      </c>
      <c r="F21" s="8">
        <v>1.9424460000000001E-2</v>
      </c>
      <c r="G21" s="8">
        <v>0</v>
      </c>
      <c r="H21" s="8">
        <v>0</v>
      </c>
      <c r="I21" s="8">
        <v>0</v>
      </c>
      <c r="J21" s="8">
        <v>0</v>
      </c>
      <c r="K21" s="8">
        <v>7.120253E-3</v>
      </c>
      <c r="L21" s="8">
        <v>4.8231510000000003E-3</v>
      </c>
      <c r="M21" s="8">
        <v>7.0070069999999991E-3</v>
      </c>
      <c r="N21" s="8">
        <v>2.0554979999999998E-3</v>
      </c>
      <c r="O21" s="8">
        <v>0</v>
      </c>
      <c r="P21" s="8">
        <v>0</v>
      </c>
      <c r="Q21" s="8">
        <v>0</v>
      </c>
      <c r="R21" s="8">
        <f t="shared" si="0"/>
        <v>3.8151384374999998E-3</v>
      </c>
    </row>
    <row r="22" spans="1:18" x14ac:dyDescent="0.4">
      <c r="A22" s="3" t="s">
        <v>88</v>
      </c>
      <c r="B22" s="4">
        <v>3.2452480000000001E-3</v>
      </c>
      <c r="C22" s="4">
        <v>1.2531328E-2</v>
      </c>
      <c r="D22" s="4">
        <v>2.4234110999999999E-2</v>
      </c>
      <c r="E22" s="4">
        <v>1.2596899E-2</v>
      </c>
      <c r="F22" s="4">
        <v>1.294964E-2</v>
      </c>
      <c r="G22" s="4">
        <v>0</v>
      </c>
      <c r="H22" s="4">
        <v>9.6385540000000006E-3</v>
      </c>
      <c r="I22" s="4">
        <v>1.3333332999999999E-2</v>
      </c>
      <c r="J22" s="4">
        <v>2.9870130000000002E-2</v>
      </c>
      <c r="K22" s="4">
        <v>1.2658228000000001E-2</v>
      </c>
      <c r="L22" s="4">
        <v>0</v>
      </c>
      <c r="M22" s="4">
        <v>3.3033033000000003E-2</v>
      </c>
      <c r="N22" s="4">
        <v>2.5693731000000001E-2</v>
      </c>
      <c r="O22" s="4">
        <v>2.2421525000000001E-2</v>
      </c>
      <c r="P22" s="4">
        <v>5.4263565999999999E-2</v>
      </c>
      <c r="Q22" s="4">
        <v>2.4355300999999999E-2</v>
      </c>
      <c r="R22" s="4">
        <f t="shared" si="0"/>
        <v>1.81765391875E-2</v>
      </c>
    </row>
    <row r="23" spans="1:18" x14ac:dyDescent="0.4">
      <c r="A23" s="7" t="s">
        <v>71</v>
      </c>
      <c r="B23" s="8">
        <v>0</v>
      </c>
      <c r="C23" s="8">
        <v>0</v>
      </c>
      <c r="D23" s="8">
        <v>0</v>
      </c>
      <c r="E23" s="8">
        <v>1.1143409999999999E-2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1.8987339999999998E-2</v>
      </c>
      <c r="L23" s="8">
        <v>3.456592E-2</v>
      </c>
      <c r="M23" s="8">
        <v>1.501502E-2</v>
      </c>
      <c r="N23" s="8">
        <v>1.5416239999999999E-2</v>
      </c>
      <c r="O23" s="8">
        <v>0</v>
      </c>
      <c r="P23" s="8">
        <v>0</v>
      </c>
      <c r="Q23" s="8">
        <v>1.2893979999999999E-2</v>
      </c>
      <c r="R23" s="8">
        <f t="shared" si="0"/>
        <v>6.7513693749999999E-3</v>
      </c>
    </row>
    <row r="24" spans="1:18" x14ac:dyDescent="0.4">
      <c r="A24" s="3" t="s">
        <v>54</v>
      </c>
      <c r="B24" s="4">
        <v>3.2452480000000001E-3</v>
      </c>
      <c r="C24" s="4">
        <v>9.3984959999999992E-3</v>
      </c>
      <c r="D24" s="4">
        <v>2.0576132E-2</v>
      </c>
      <c r="E24" s="4">
        <v>8.2364340000000008E-3</v>
      </c>
      <c r="F24" s="4">
        <v>0</v>
      </c>
      <c r="G24" s="4">
        <v>0</v>
      </c>
      <c r="H24" s="4">
        <v>0</v>
      </c>
      <c r="I24" s="4">
        <v>7.6190479999999998E-3</v>
      </c>
      <c r="J24" s="4">
        <v>1.1038961E-2</v>
      </c>
      <c r="K24" s="4">
        <v>1.6613923999999999E-2</v>
      </c>
      <c r="L24" s="4">
        <v>0</v>
      </c>
      <c r="M24" s="4">
        <v>1.1011010999999999E-2</v>
      </c>
      <c r="N24" s="4">
        <v>0</v>
      </c>
      <c r="O24" s="4">
        <v>0</v>
      </c>
      <c r="P24" s="4">
        <v>3.5658914999999999E-2</v>
      </c>
      <c r="Q24" s="4">
        <v>7.8796560000000005E-3</v>
      </c>
      <c r="R24" s="4">
        <f t="shared" si="0"/>
        <v>8.2048640625000009E-3</v>
      </c>
    </row>
    <row r="25" spans="1:18" x14ac:dyDescent="0.4">
      <c r="A25" s="7" t="s">
        <v>61</v>
      </c>
      <c r="B25" s="8">
        <v>0.13722762999999999</v>
      </c>
      <c r="C25" s="8">
        <v>5.576441E-2</v>
      </c>
      <c r="D25" s="8">
        <v>1.234568E-2</v>
      </c>
      <c r="E25" s="8">
        <v>4.94186E-2</v>
      </c>
      <c r="F25" s="8">
        <v>6.9784170000000006E-2</v>
      </c>
      <c r="G25" s="8">
        <v>0.12600969000000001</v>
      </c>
      <c r="H25" s="8">
        <v>0.16305221</v>
      </c>
      <c r="I25" s="8">
        <v>4.7619050000000003E-2</v>
      </c>
      <c r="J25" s="8">
        <v>2.7922079999999998E-2</v>
      </c>
      <c r="K25" s="8">
        <v>2.2943040000000001E-2</v>
      </c>
      <c r="L25" s="8">
        <v>0.12138264</v>
      </c>
      <c r="M25" s="8">
        <v>9.2092090000000001E-2</v>
      </c>
      <c r="N25" s="8">
        <v>6.6803699999999994E-2</v>
      </c>
      <c r="O25" s="8">
        <v>9.4170400000000001E-2</v>
      </c>
      <c r="P25" s="8">
        <v>2.6356589999999999E-2</v>
      </c>
      <c r="Q25" s="8">
        <v>8.452722E-2</v>
      </c>
      <c r="R25" s="8">
        <f t="shared" si="0"/>
        <v>7.4838699999999994E-2</v>
      </c>
    </row>
    <row r="26" spans="1:18" x14ac:dyDescent="0.4">
      <c r="A26" s="3" t="s">
        <v>68</v>
      </c>
      <c r="B26" s="4">
        <v>1.483542E-2</v>
      </c>
      <c r="C26" s="4">
        <v>3.5087720000000003E-2</v>
      </c>
      <c r="D26" s="4">
        <v>1.326017E-2</v>
      </c>
      <c r="E26" s="4">
        <v>3.2945740000000001E-2</v>
      </c>
      <c r="F26" s="4">
        <v>3.3093530000000003E-2</v>
      </c>
      <c r="G26" s="4">
        <v>0</v>
      </c>
      <c r="H26" s="4">
        <v>0</v>
      </c>
      <c r="I26" s="4">
        <v>2.095238E-2</v>
      </c>
      <c r="J26" s="4">
        <v>2.0129870000000001E-2</v>
      </c>
      <c r="K26" s="4">
        <v>2.056962E-2</v>
      </c>
      <c r="L26" s="4">
        <v>1.527331E-2</v>
      </c>
      <c r="M26" s="4">
        <v>0</v>
      </c>
      <c r="N26" s="4">
        <v>0</v>
      </c>
      <c r="O26" s="4">
        <v>5.1121079999999999E-2</v>
      </c>
      <c r="P26" s="4">
        <v>0</v>
      </c>
      <c r="Q26" s="4">
        <v>1.9340969999999999E-2</v>
      </c>
      <c r="R26" s="4">
        <f t="shared" si="0"/>
        <v>1.7288113125000001E-2</v>
      </c>
    </row>
    <row r="27" spans="1:18" x14ac:dyDescent="0.4">
      <c r="A27" s="7" t="s">
        <v>64</v>
      </c>
      <c r="B27" s="8">
        <v>1.1126565E-2</v>
      </c>
      <c r="C27" s="8">
        <v>4.3859649000000001E-2</v>
      </c>
      <c r="D27" s="8">
        <v>1.7832647E-2</v>
      </c>
      <c r="E27" s="8">
        <v>3.9244186E-2</v>
      </c>
      <c r="F27" s="8">
        <v>1.7985612000000002E-2</v>
      </c>
      <c r="G27" s="8">
        <v>8.0775440000000007E-3</v>
      </c>
      <c r="H27" s="8">
        <v>1.124498E-2</v>
      </c>
      <c r="I27" s="8">
        <v>9.5238100000000006E-3</v>
      </c>
      <c r="J27" s="8">
        <v>3.0519481000000001E-2</v>
      </c>
      <c r="K27" s="8">
        <v>2.6898734000000001E-2</v>
      </c>
      <c r="L27" s="8">
        <v>1.4469453E-2</v>
      </c>
      <c r="M27" s="8">
        <v>0</v>
      </c>
      <c r="N27" s="8">
        <v>2.1582733999999999E-2</v>
      </c>
      <c r="O27" s="8">
        <v>1.5246637E-2</v>
      </c>
      <c r="P27" s="8">
        <v>0</v>
      </c>
      <c r="Q27" s="8">
        <v>0</v>
      </c>
      <c r="R27" s="8">
        <f t="shared" si="0"/>
        <v>1.6725752E-2</v>
      </c>
    </row>
    <row r="28" spans="1:18" x14ac:dyDescent="0.4">
      <c r="A28" s="3" t="s">
        <v>74</v>
      </c>
      <c r="B28" s="4">
        <v>2.0862308999999999E-2</v>
      </c>
      <c r="C28" s="4">
        <v>1.3784461E-2</v>
      </c>
      <c r="D28" s="4">
        <v>6.4014629999999996E-3</v>
      </c>
      <c r="E28" s="4">
        <v>7.2674419999999998E-3</v>
      </c>
      <c r="F28" s="4">
        <v>6.4748200000000001E-3</v>
      </c>
      <c r="G28" s="4">
        <v>0</v>
      </c>
      <c r="H28" s="4">
        <v>0</v>
      </c>
      <c r="I28" s="4">
        <v>0</v>
      </c>
      <c r="J28" s="4">
        <v>4.5454550000000003E-3</v>
      </c>
      <c r="K28" s="4">
        <v>7.120253E-3</v>
      </c>
      <c r="L28" s="4">
        <v>1.1254019000000001E-2</v>
      </c>
      <c r="M28" s="4">
        <v>6.0060060000000004E-3</v>
      </c>
      <c r="N28" s="4">
        <v>0</v>
      </c>
      <c r="O28" s="4">
        <v>0</v>
      </c>
      <c r="P28" s="4">
        <v>0</v>
      </c>
      <c r="Q28" s="4">
        <v>0</v>
      </c>
      <c r="R28" s="4">
        <f t="shared" si="0"/>
        <v>5.2322642499999994E-3</v>
      </c>
    </row>
    <row r="29" spans="1:18" x14ac:dyDescent="0.4">
      <c r="A29" s="7" t="s">
        <v>89</v>
      </c>
      <c r="B29" s="8">
        <v>0</v>
      </c>
      <c r="C29" s="8">
        <v>0</v>
      </c>
      <c r="D29" s="8">
        <v>3.200732E-3</v>
      </c>
      <c r="E29" s="8">
        <v>0</v>
      </c>
      <c r="F29" s="8">
        <v>6.4748200000000001E-3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5.62701E-3</v>
      </c>
      <c r="M29" s="8">
        <v>0</v>
      </c>
      <c r="N29" s="8">
        <v>4.1109969999999999E-3</v>
      </c>
      <c r="O29" s="8">
        <v>0</v>
      </c>
      <c r="P29" s="8">
        <v>0</v>
      </c>
      <c r="Q29" s="8">
        <v>0</v>
      </c>
      <c r="R29" s="8">
        <f t="shared" si="0"/>
        <v>1.2133474375E-3</v>
      </c>
    </row>
    <row r="30" spans="1:18" x14ac:dyDescent="0.4">
      <c r="A30" s="3" t="s">
        <v>23</v>
      </c>
      <c r="B30" s="4">
        <v>1.3908206000000001E-3</v>
      </c>
      <c r="C30" s="4">
        <v>3.1328320999999999E-3</v>
      </c>
      <c r="D30" s="4">
        <v>9.1449469999999998E-4</v>
      </c>
      <c r="E30" s="4">
        <v>9.6899219999999997E-4</v>
      </c>
      <c r="F30" s="4">
        <v>0</v>
      </c>
      <c r="G30" s="4">
        <v>9.6930533000000006E-3</v>
      </c>
      <c r="H30" s="4">
        <v>0</v>
      </c>
      <c r="I30" s="4">
        <v>2.85714286E-2</v>
      </c>
      <c r="J30" s="4">
        <v>4.5454544999999997E-3</v>
      </c>
      <c r="K30" s="4">
        <v>3.9556961999999999E-3</v>
      </c>
      <c r="L30" s="4">
        <v>0</v>
      </c>
      <c r="M30" s="4">
        <v>0</v>
      </c>
      <c r="N30" s="4">
        <v>1.3360739999999999E-2</v>
      </c>
      <c r="O30" s="4">
        <v>0</v>
      </c>
      <c r="P30" s="4">
        <v>9.3023255999999995E-3</v>
      </c>
      <c r="Q30" s="4">
        <v>0</v>
      </c>
      <c r="R30" s="4">
        <f t="shared" si="0"/>
        <v>4.7397398624999991E-3</v>
      </c>
    </row>
    <row r="31" spans="1:18" x14ac:dyDescent="0.4">
      <c r="A31" s="7" t="s">
        <v>96</v>
      </c>
      <c r="B31" s="8">
        <v>0</v>
      </c>
      <c r="C31" s="8">
        <v>0</v>
      </c>
      <c r="D31" s="8">
        <v>3.200732E-3</v>
      </c>
      <c r="E31" s="8">
        <v>2.9069769999999998E-3</v>
      </c>
      <c r="F31" s="8">
        <v>6.4748200000000001E-3</v>
      </c>
      <c r="G31" s="8">
        <v>0</v>
      </c>
      <c r="H31" s="8">
        <v>5.62249E-3</v>
      </c>
      <c r="I31" s="8">
        <v>0</v>
      </c>
      <c r="J31" s="8">
        <v>0</v>
      </c>
      <c r="K31" s="8">
        <v>9.4936710000000004E-3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f t="shared" si="0"/>
        <v>1.7311681249999999E-3</v>
      </c>
    </row>
    <row r="32" spans="1:18" x14ac:dyDescent="0.4">
      <c r="A32" s="3" t="s">
        <v>62</v>
      </c>
      <c r="B32" s="4">
        <v>8.6230879999999996E-2</v>
      </c>
      <c r="C32" s="4">
        <v>0.13596490999999999</v>
      </c>
      <c r="D32" s="4">
        <v>6.2642890000000007E-2</v>
      </c>
      <c r="E32" s="4">
        <v>0.11337208999999999</v>
      </c>
      <c r="F32" s="4">
        <v>7.4100719999999995E-2</v>
      </c>
      <c r="G32" s="4">
        <v>2.907916E-2</v>
      </c>
      <c r="H32" s="4">
        <v>0.24417670999999999</v>
      </c>
      <c r="I32" s="4">
        <v>0</v>
      </c>
      <c r="J32" s="4">
        <v>7.9220780000000005E-2</v>
      </c>
      <c r="K32" s="4">
        <v>5.379747E-2</v>
      </c>
      <c r="L32" s="4">
        <v>0.18488746</v>
      </c>
      <c r="M32" s="4">
        <v>7.107107E-2</v>
      </c>
      <c r="N32" s="4">
        <v>6.9886950000000003E-2</v>
      </c>
      <c r="O32" s="4">
        <v>0.14349776</v>
      </c>
      <c r="P32" s="4">
        <v>3.1007750000000001E-2</v>
      </c>
      <c r="Q32" s="4">
        <v>0.18481375</v>
      </c>
      <c r="R32" s="4">
        <f t="shared" si="0"/>
        <v>9.773439687499999E-2</v>
      </c>
    </row>
    <row r="33" spans="1:18" x14ac:dyDescent="0.4">
      <c r="A33" s="7" t="s">
        <v>85</v>
      </c>
      <c r="B33" s="8">
        <v>1.529903E-2</v>
      </c>
      <c r="C33" s="8">
        <v>2.2556389999999999E-2</v>
      </c>
      <c r="D33" s="8">
        <v>4.3438499999999998E-2</v>
      </c>
      <c r="E33" s="8">
        <v>3.0038760000000001E-2</v>
      </c>
      <c r="F33" s="8">
        <v>4.0287770000000001E-2</v>
      </c>
      <c r="G33" s="8">
        <v>0</v>
      </c>
      <c r="H33" s="8">
        <v>0</v>
      </c>
      <c r="I33" s="8">
        <v>1.5238099999999999E-2</v>
      </c>
      <c r="J33" s="8">
        <v>1.0389610000000001E-2</v>
      </c>
      <c r="K33" s="8">
        <v>4.6677219999999998E-2</v>
      </c>
      <c r="L33" s="8">
        <v>2.4919609999999998E-2</v>
      </c>
      <c r="M33" s="8">
        <v>4.5045050000000003E-2</v>
      </c>
      <c r="N33" s="8">
        <v>3.9054470000000001E-2</v>
      </c>
      <c r="O33" s="8">
        <v>3.1390130000000002E-2</v>
      </c>
      <c r="P33" s="8">
        <v>2.6356589999999999E-2</v>
      </c>
      <c r="Q33" s="8">
        <v>3.2951290000000001E-2</v>
      </c>
      <c r="R33" s="8">
        <f t="shared" si="0"/>
        <v>2.6477657500000001E-2</v>
      </c>
    </row>
    <row r="34" spans="1:18" x14ac:dyDescent="0.4">
      <c r="A34" s="3" t="s">
        <v>79</v>
      </c>
      <c r="B34" s="4">
        <v>0</v>
      </c>
      <c r="C34" s="4">
        <v>0</v>
      </c>
      <c r="D34" s="4">
        <v>0</v>
      </c>
      <c r="E34" s="4">
        <v>3.8759689999999999E-3</v>
      </c>
      <c r="F34" s="4">
        <v>5.7553960000000003E-3</v>
      </c>
      <c r="G34" s="4">
        <v>0</v>
      </c>
      <c r="H34" s="4">
        <v>0</v>
      </c>
      <c r="I34" s="4">
        <v>0</v>
      </c>
      <c r="J34" s="4">
        <v>2.7272727E-2</v>
      </c>
      <c r="K34" s="4">
        <v>0</v>
      </c>
      <c r="L34" s="4">
        <v>1.2057877999999999E-2</v>
      </c>
      <c r="M34" s="4">
        <v>0</v>
      </c>
      <c r="N34" s="4">
        <v>6.1664949999999993E-3</v>
      </c>
      <c r="O34" s="4">
        <v>4.4843050000000001E-3</v>
      </c>
      <c r="P34" s="4">
        <v>0</v>
      </c>
      <c r="Q34" s="4">
        <v>0</v>
      </c>
      <c r="R34" s="4">
        <f t="shared" si="0"/>
        <v>3.7257981250000002E-3</v>
      </c>
    </row>
    <row r="35" spans="1:18" x14ac:dyDescent="0.4">
      <c r="A35" s="7" t="s">
        <v>81</v>
      </c>
      <c r="B35" s="8">
        <v>0</v>
      </c>
      <c r="C35" s="8">
        <v>0</v>
      </c>
      <c r="D35" s="8">
        <v>0</v>
      </c>
      <c r="E35" s="8">
        <v>2.9069769999999998E-3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3.9556959999999999E-3</v>
      </c>
      <c r="L35" s="8">
        <v>0</v>
      </c>
      <c r="M35" s="8">
        <v>0</v>
      </c>
      <c r="N35" s="8">
        <v>3.0832479999999989E-3</v>
      </c>
      <c r="O35" s="8">
        <v>6.2780270000000003E-3</v>
      </c>
      <c r="P35" s="8">
        <v>0</v>
      </c>
      <c r="Q35" s="8">
        <v>0</v>
      </c>
      <c r="R35" s="8">
        <f t="shared" si="0"/>
        <v>1.0139967499999999E-3</v>
      </c>
    </row>
    <row r="36" spans="1:18" x14ac:dyDescent="0.4">
      <c r="A36" s="3" t="s">
        <v>56</v>
      </c>
      <c r="B36" s="4">
        <v>0.101066296</v>
      </c>
      <c r="C36" s="4">
        <v>8.2706767E-2</v>
      </c>
      <c r="D36" s="4">
        <v>0.100137174</v>
      </c>
      <c r="E36" s="4">
        <v>9.4476744000000001E-2</v>
      </c>
      <c r="F36" s="4">
        <v>0.124460432</v>
      </c>
      <c r="G36" s="4">
        <v>4.2003231000000002E-2</v>
      </c>
      <c r="H36" s="4">
        <v>8.3534136999999994E-2</v>
      </c>
      <c r="I36" s="4">
        <v>0.10095238099999999</v>
      </c>
      <c r="J36" s="4">
        <v>4.8051947999999997E-2</v>
      </c>
      <c r="K36" s="4">
        <v>0.120253165</v>
      </c>
      <c r="L36" s="4">
        <v>4.0996785000000001E-2</v>
      </c>
      <c r="M36" s="4">
        <v>0.113113113</v>
      </c>
      <c r="N36" s="4">
        <v>8.0164440000000003E-2</v>
      </c>
      <c r="O36" s="4">
        <v>9.7757847999999994E-2</v>
      </c>
      <c r="P36" s="4">
        <v>0.13798449600000001</v>
      </c>
      <c r="Q36" s="4">
        <v>6.8051576000000003E-2</v>
      </c>
      <c r="R36" s="4">
        <f t="shared" si="0"/>
        <v>8.9731908312500011E-2</v>
      </c>
    </row>
    <row r="37" spans="1:18" x14ac:dyDescent="0.4">
      <c r="A37" s="7" t="s">
        <v>84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1.124498E-2</v>
      </c>
      <c r="I37" s="8">
        <v>0</v>
      </c>
      <c r="J37" s="8">
        <v>0</v>
      </c>
      <c r="K37" s="8">
        <v>0</v>
      </c>
      <c r="L37" s="8">
        <v>1.0450160999999999E-2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f t="shared" si="0"/>
        <v>1.3559463125000001E-3</v>
      </c>
    </row>
    <row r="38" spans="1:18" x14ac:dyDescent="0.4">
      <c r="A38" s="3" t="s">
        <v>63</v>
      </c>
      <c r="B38" s="4">
        <v>0</v>
      </c>
      <c r="C38" s="4">
        <v>0</v>
      </c>
      <c r="D38" s="4">
        <v>0</v>
      </c>
      <c r="E38" s="4">
        <v>1.453488E-3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2.373418E-3</v>
      </c>
      <c r="L38" s="4">
        <v>0</v>
      </c>
      <c r="M38" s="4">
        <v>0</v>
      </c>
      <c r="N38" s="4">
        <v>4.1109969999999999E-3</v>
      </c>
      <c r="O38" s="4">
        <v>0</v>
      </c>
      <c r="P38" s="4">
        <v>4.0310077999999999E-2</v>
      </c>
      <c r="Q38" s="4">
        <v>0</v>
      </c>
      <c r="R38" s="4">
        <f t="shared" si="0"/>
        <v>3.0154988124999997E-3</v>
      </c>
    </row>
    <row r="39" spans="1:18" x14ac:dyDescent="0.4">
      <c r="A39" s="7" t="s">
        <v>59</v>
      </c>
      <c r="B39" s="8">
        <v>0.10662958</v>
      </c>
      <c r="C39" s="8">
        <v>7.3934840000000002E-2</v>
      </c>
      <c r="D39" s="8">
        <v>0.22450845999999999</v>
      </c>
      <c r="E39" s="8">
        <v>0.22238372000000001</v>
      </c>
      <c r="F39" s="8">
        <v>0.12158273</v>
      </c>
      <c r="G39" s="8">
        <v>3.3925690000000001E-2</v>
      </c>
      <c r="H39" s="8">
        <v>8.5943779999999997E-2</v>
      </c>
      <c r="I39" s="8">
        <v>8.3809519999999998E-2</v>
      </c>
      <c r="J39" s="8">
        <v>0.28051947999999999</v>
      </c>
      <c r="K39" s="8">
        <v>0.15031646000000001</v>
      </c>
      <c r="L39" s="8">
        <v>0.15755627</v>
      </c>
      <c r="M39" s="8">
        <v>0.19319318999999999</v>
      </c>
      <c r="N39" s="8">
        <v>0.23741007</v>
      </c>
      <c r="O39" s="8">
        <v>0.13094169999999999</v>
      </c>
      <c r="P39" s="8">
        <v>0.11317829</v>
      </c>
      <c r="Q39" s="8">
        <v>0.20988539000000001</v>
      </c>
      <c r="R39" s="8">
        <f t="shared" si="0"/>
        <v>0.15160744812499999</v>
      </c>
    </row>
    <row r="40" spans="1:18" x14ac:dyDescent="0.4">
      <c r="A40" s="3" t="s">
        <v>60</v>
      </c>
      <c r="B40" s="4">
        <v>8.5303660000000003E-2</v>
      </c>
      <c r="C40" s="4">
        <v>9.5238100000000006E-2</v>
      </c>
      <c r="D40" s="4">
        <v>5.1668950000000012E-2</v>
      </c>
      <c r="E40" s="4">
        <v>3.4399220000000001E-2</v>
      </c>
      <c r="F40" s="4">
        <v>7.7697840000000004E-2</v>
      </c>
      <c r="G40" s="4">
        <v>0.18093699999999999</v>
      </c>
      <c r="H40" s="4">
        <v>0.10843373000000001</v>
      </c>
      <c r="I40" s="4">
        <v>0.11047619</v>
      </c>
      <c r="J40" s="4">
        <v>0.12922078000000001</v>
      </c>
      <c r="K40" s="4">
        <v>7.7531649999999994E-2</v>
      </c>
      <c r="L40" s="4">
        <v>8.3601289999999995E-2</v>
      </c>
      <c r="M40" s="4">
        <v>2.702703E-2</v>
      </c>
      <c r="N40" s="4">
        <v>3.4943469999999997E-2</v>
      </c>
      <c r="O40" s="4">
        <v>6.0089689999999987E-2</v>
      </c>
      <c r="P40" s="4">
        <v>2.1705430000000001E-2</v>
      </c>
      <c r="Q40" s="4">
        <v>7.449857E-2</v>
      </c>
      <c r="R40" s="4">
        <f t="shared" si="0"/>
        <v>7.8298287499999994E-2</v>
      </c>
    </row>
    <row r="41" spans="1:18" x14ac:dyDescent="0.4">
      <c r="A41" s="7" t="s">
        <v>82</v>
      </c>
      <c r="B41" s="8">
        <v>0</v>
      </c>
      <c r="C41" s="8">
        <v>1.1904761999999999E-2</v>
      </c>
      <c r="D41" s="8">
        <v>1.828989E-3</v>
      </c>
      <c r="E41" s="8">
        <v>8.72093E-3</v>
      </c>
      <c r="F41" s="8">
        <v>1.7266186999999999E-2</v>
      </c>
      <c r="G41" s="8">
        <v>0</v>
      </c>
      <c r="H41" s="8">
        <v>5.62249E-3</v>
      </c>
      <c r="I41" s="8">
        <v>3.8095239999999999E-3</v>
      </c>
      <c r="J41" s="8">
        <v>0</v>
      </c>
      <c r="K41" s="8">
        <v>1.6613923999999999E-2</v>
      </c>
      <c r="L41" s="8">
        <v>7.2347269999999998E-3</v>
      </c>
      <c r="M41" s="8">
        <v>1.3013013E-2</v>
      </c>
      <c r="N41" s="8">
        <v>0</v>
      </c>
      <c r="O41" s="8">
        <v>9.8654710000000007E-3</v>
      </c>
      <c r="P41" s="8">
        <v>0</v>
      </c>
      <c r="Q41" s="8">
        <v>0</v>
      </c>
      <c r="R41" s="8">
        <f t="shared" si="0"/>
        <v>5.9925010624999999E-3</v>
      </c>
    </row>
    <row r="42" spans="1:18" x14ac:dyDescent="0.4">
      <c r="A42" s="3" t="s">
        <v>70</v>
      </c>
      <c r="B42" s="4">
        <v>0</v>
      </c>
      <c r="C42" s="4">
        <v>2.3809523999999999E-2</v>
      </c>
      <c r="D42" s="4">
        <v>9.1449470000000005E-3</v>
      </c>
      <c r="E42" s="4">
        <v>2.0348837000000002E-2</v>
      </c>
      <c r="F42" s="4">
        <v>0</v>
      </c>
      <c r="G42" s="4">
        <v>0</v>
      </c>
      <c r="H42" s="4">
        <v>5.62249E-3</v>
      </c>
      <c r="I42" s="4">
        <v>0</v>
      </c>
      <c r="J42" s="4">
        <v>1.0389610000000001E-2</v>
      </c>
      <c r="K42" s="4">
        <v>1.3449367E-2</v>
      </c>
      <c r="L42" s="4">
        <v>1.9292605000000001E-2</v>
      </c>
      <c r="M42" s="4">
        <v>2.1021021000000001E-2</v>
      </c>
      <c r="N42" s="4">
        <v>2.8776978000000002E-2</v>
      </c>
      <c r="O42" s="4">
        <v>3.5874439000000001E-2</v>
      </c>
      <c r="P42" s="4">
        <v>0</v>
      </c>
      <c r="Q42" s="4">
        <v>7.1633240000000013E-3</v>
      </c>
      <c r="R42" s="4">
        <f t="shared" si="0"/>
        <v>1.2180821375000001E-2</v>
      </c>
    </row>
    <row r="43" spans="1:18" x14ac:dyDescent="0.4">
      <c r="A43" s="7" t="s">
        <v>90</v>
      </c>
      <c r="B43" s="8">
        <v>0</v>
      </c>
      <c r="C43" s="8">
        <v>6.2656639999999998E-3</v>
      </c>
      <c r="D43" s="8">
        <v>2.286237E-3</v>
      </c>
      <c r="E43" s="8">
        <v>0</v>
      </c>
      <c r="F43" s="8">
        <v>0</v>
      </c>
      <c r="G43" s="8">
        <v>1.7770597999999999E-2</v>
      </c>
      <c r="H43" s="8">
        <v>1.124498E-2</v>
      </c>
      <c r="I43" s="8">
        <v>0</v>
      </c>
      <c r="J43" s="8">
        <v>0</v>
      </c>
      <c r="K43" s="8">
        <v>3.1645570000000001E-3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9.3123210000000001E-3</v>
      </c>
      <c r="R43" s="8">
        <f t="shared" si="0"/>
        <v>3.1277723124999999E-3</v>
      </c>
    </row>
    <row r="44" spans="1:18" x14ac:dyDescent="0.4">
      <c r="A44" s="3" t="s">
        <v>87</v>
      </c>
      <c r="B44" s="4">
        <v>1.3444599E-2</v>
      </c>
      <c r="C44" s="4">
        <v>9.3984959999999992E-3</v>
      </c>
      <c r="D44" s="4">
        <v>4.572474E-3</v>
      </c>
      <c r="E44" s="4">
        <v>0</v>
      </c>
      <c r="F44" s="4">
        <v>0</v>
      </c>
      <c r="G44" s="4">
        <v>0</v>
      </c>
      <c r="H44" s="4">
        <v>3.2128510000000001E-3</v>
      </c>
      <c r="I44" s="4">
        <v>0</v>
      </c>
      <c r="J44" s="4">
        <v>3.8961040000000001E-3</v>
      </c>
      <c r="K44" s="4">
        <v>6.3291140000000003E-3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4.2979940000000003E-3</v>
      </c>
      <c r="R44" s="4">
        <f t="shared" si="0"/>
        <v>2.8219769999999998E-3</v>
      </c>
    </row>
    <row r="45" spans="1:18" x14ac:dyDescent="0.4">
      <c r="A45" s="7" t="s">
        <v>78</v>
      </c>
      <c r="B45" s="8">
        <v>1.8544270000000001E-3</v>
      </c>
      <c r="C45" s="8">
        <v>0</v>
      </c>
      <c r="D45" s="8">
        <v>0</v>
      </c>
      <c r="E45" s="8">
        <v>2.4224810000000002E-3</v>
      </c>
      <c r="F45" s="8">
        <v>0</v>
      </c>
      <c r="G45" s="8">
        <v>0</v>
      </c>
      <c r="H45" s="8">
        <v>0</v>
      </c>
      <c r="I45" s="8">
        <v>0</v>
      </c>
      <c r="J45" s="8">
        <v>1.5584416E-2</v>
      </c>
      <c r="K45" s="8">
        <v>0</v>
      </c>
      <c r="L45" s="8">
        <v>0</v>
      </c>
      <c r="M45" s="8">
        <v>3.9039038999999998E-2</v>
      </c>
      <c r="N45" s="8">
        <v>2.7749229E-2</v>
      </c>
      <c r="O45" s="8">
        <v>0</v>
      </c>
      <c r="P45" s="8">
        <v>0</v>
      </c>
      <c r="Q45" s="8">
        <v>0</v>
      </c>
      <c r="R45" s="8">
        <f t="shared" si="0"/>
        <v>5.4155994999999998E-3</v>
      </c>
    </row>
    <row r="46" spans="1:18" x14ac:dyDescent="0.4">
      <c r="A46" s="3" t="s">
        <v>91</v>
      </c>
      <c r="B46" s="4">
        <v>0</v>
      </c>
      <c r="C46" s="4">
        <v>0</v>
      </c>
      <c r="D46" s="4">
        <v>1.6460905000000001E-2</v>
      </c>
      <c r="E46" s="4">
        <v>0</v>
      </c>
      <c r="F46" s="4">
        <v>6.4748200000000001E-3</v>
      </c>
      <c r="G46" s="4">
        <v>5.1696284000000002E-2</v>
      </c>
      <c r="H46" s="4">
        <v>3.9357429999999999E-2</v>
      </c>
      <c r="I46" s="4">
        <v>9.5238100000000006E-3</v>
      </c>
      <c r="J46" s="4">
        <v>1.8831168999999998E-2</v>
      </c>
      <c r="K46" s="4">
        <v>1.9778481000000001E-2</v>
      </c>
      <c r="L46" s="4">
        <v>7.2347269999999998E-3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f t="shared" si="0"/>
        <v>1.0584851624999999E-2</v>
      </c>
    </row>
    <row r="47" spans="1:18" x14ac:dyDescent="0.4">
      <c r="A47" s="7" t="s">
        <v>77</v>
      </c>
      <c r="B47" s="8">
        <v>7.4177099999999992E-3</v>
      </c>
      <c r="C47" s="8">
        <v>1.0025063000000001E-2</v>
      </c>
      <c r="D47" s="8">
        <v>5.029721E-3</v>
      </c>
      <c r="E47" s="8">
        <v>1.1143411000000001E-2</v>
      </c>
      <c r="F47" s="8">
        <v>1.1510790999999999E-2</v>
      </c>
      <c r="G47" s="8">
        <v>0.10662358600000001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6.0060060000000004E-3</v>
      </c>
      <c r="N47" s="8">
        <v>0</v>
      </c>
      <c r="O47" s="8">
        <v>2.9596412999999998E-2</v>
      </c>
      <c r="P47" s="8">
        <v>0</v>
      </c>
      <c r="Q47" s="8">
        <v>1.4326648000000001E-2</v>
      </c>
      <c r="R47" s="8">
        <f t="shared" si="0"/>
        <v>1.26049593125E-2</v>
      </c>
    </row>
  </sheetData>
  <autoFilter ref="A3:R47" xr:uid="{00000000-0009-0000-0000-00000C000000}"/>
  <mergeCells count="2">
    <mergeCell ref="A2:R2"/>
    <mergeCell ref="A1:R1"/>
  </mergeCells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18" width="11" customWidth="1"/>
  </cols>
  <sheetData>
    <row r="1" spans="1:18" ht="28.05" customHeight="1" x14ac:dyDescent="0.4">
      <c r="A1" s="23" t="s">
        <v>230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4.049999999999997" customHeight="1" x14ac:dyDescent="0.4">
      <c r="A2" s="26" t="s">
        <v>189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1.95" customHeight="1" x14ac:dyDescent="0.4">
      <c r="A3" s="20" t="s">
        <v>229</v>
      </c>
      <c r="B3" s="20" t="s">
        <v>209</v>
      </c>
      <c r="C3" s="20" t="s">
        <v>210</v>
      </c>
      <c r="D3" s="20" t="s">
        <v>211</v>
      </c>
      <c r="E3" s="20" t="s">
        <v>212</v>
      </c>
      <c r="F3" s="20" t="s">
        <v>213</v>
      </c>
      <c r="G3" s="20" t="s">
        <v>214</v>
      </c>
      <c r="H3" s="20" t="s">
        <v>215</v>
      </c>
      <c r="I3" s="20" t="s">
        <v>216</v>
      </c>
      <c r="J3" s="20" t="s">
        <v>217</v>
      </c>
      <c r="K3" s="20" t="s">
        <v>218</v>
      </c>
      <c r="L3" s="20" t="s">
        <v>219</v>
      </c>
      <c r="M3" s="20" t="s">
        <v>220</v>
      </c>
      <c r="N3" s="20" t="s">
        <v>221</v>
      </c>
      <c r="O3" s="20" t="s">
        <v>222</v>
      </c>
      <c r="P3" s="20" t="s">
        <v>223</v>
      </c>
      <c r="Q3" s="20" t="s">
        <v>224</v>
      </c>
      <c r="R3" s="20" t="s">
        <v>207</v>
      </c>
    </row>
    <row r="4" spans="1:18" x14ac:dyDescent="0.4">
      <c r="A4" s="3" t="s">
        <v>80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4.5627380000000002E-3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5.7859210000000003E-3</v>
      </c>
      <c r="R4" s="4">
        <f t="shared" ref="R4:R47" si="0">AVERAGE(B4:Q4)</f>
        <v>6.4679118749999998E-4</v>
      </c>
    </row>
    <row r="5" spans="1:18" x14ac:dyDescent="0.4">
      <c r="A5" s="7" t="s">
        <v>73</v>
      </c>
      <c r="B5" s="8">
        <v>3.5217035000000001E-2</v>
      </c>
      <c r="C5" s="8">
        <v>4.0927689999999996E-3</v>
      </c>
      <c r="D5" s="8">
        <v>3.9113430000000003E-3</v>
      </c>
      <c r="E5" s="8">
        <v>0</v>
      </c>
      <c r="F5" s="8">
        <v>8.0267559999999995E-3</v>
      </c>
      <c r="G5" s="8">
        <v>0</v>
      </c>
      <c r="H5" s="8">
        <v>1.988072E-3</v>
      </c>
      <c r="I5" s="8">
        <v>1.0810811E-2</v>
      </c>
      <c r="J5" s="8">
        <v>3.0042917999999991E-2</v>
      </c>
      <c r="K5" s="8">
        <v>3.7209302E-2</v>
      </c>
      <c r="L5" s="8">
        <v>0</v>
      </c>
      <c r="M5" s="8">
        <v>1.2820513E-2</v>
      </c>
      <c r="N5" s="8">
        <v>8.8365240000000001E-3</v>
      </c>
      <c r="O5" s="8">
        <v>0</v>
      </c>
      <c r="P5" s="8">
        <v>0</v>
      </c>
      <c r="Q5" s="8">
        <v>0</v>
      </c>
      <c r="R5" s="8">
        <f t="shared" si="0"/>
        <v>9.5597526875000009E-3</v>
      </c>
    </row>
    <row r="6" spans="1:18" x14ac:dyDescent="0.4">
      <c r="A6" s="3" t="s">
        <v>95</v>
      </c>
      <c r="B6" s="4">
        <v>0</v>
      </c>
      <c r="C6" s="4">
        <v>1.0914052E-2</v>
      </c>
      <c r="D6" s="4">
        <v>2.4771838000000001E-2</v>
      </c>
      <c r="E6" s="4">
        <v>0</v>
      </c>
      <c r="F6" s="4">
        <v>0</v>
      </c>
      <c r="G6" s="4">
        <v>6.844106E-3</v>
      </c>
      <c r="H6" s="4">
        <v>9.9403579999999998E-3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1.0309278E-2</v>
      </c>
      <c r="O6" s="4">
        <v>0</v>
      </c>
      <c r="P6" s="4">
        <v>1.0614102E-2</v>
      </c>
      <c r="Q6" s="4">
        <v>0</v>
      </c>
      <c r="R6" s="4">
        <f t="shared" si="0"/>
        <v>4.5871083750000001E-3</v>
      </c>
    </row>
    <row r="7" spans="1:18" x14ac:dyDescent="0.4">
      <c r="A7" s="7" t="s">
        <v>57</v>
      </c>
      <c r="B7" s="8">
        <v>1.0647011E-2</v>
      </c>
      <c r="C7" s="8">
        <v>0</v>
      </c>
      <c r="D7" s="8">
        <v>5.8670140000000003E-3</v>
      </c>
      <c r="E7" s="8">
        <v>8.0889789999999996E-3</v>
      </c>
      <c r="F7" s="8">
        <v>9.3645480000000003E-3</v>
      </c>
      <c r="G7" s="8">
        <v>0</v>
      </c>
      <c r="H7" s="8">
        <v>1.1928429000000001E-2</v>
      </c>
      <c r="I7" s="8">
        <v>0</v>
      </c>
      <c r="J7" s="8">
        <v>0</v>
      </c>
      <c r="K7" s="8">
        <v>1.1162791E-2</v>
      </c>
      <c r="L7" s="8">
        <v>0</v>
      </c>
      <c r="M7" s="8">
        <v>4.7785547999999997E-2</v>
      </c>
      <c r="N7" s="8">
        <v>2.0618556999999999E-2</v>
      </c>
      <c r="O7" s="8">
        <v>0.79596977300000005</v>
      </c>
      <c r="P7" s="8">
        <v>2.1986353E-2</v>
      </c>
      <c r="Q7" s="8">
        <v>3.8572806000000001E-2</v>
      </c>
      <c r="R7" s="8">
        <f t="shared" si="0"/>
        <v>6.1374488062500003E-2</v>
      </c>
    </row>
    <row r="8" spans="1:18" x14ac:dyDescent="0.4">
      <c r="A8" s="3" t="s">
        <v>92</v>
      </c>
      <c r="B8" s="4">
        <v>1.2285012E-2</v>
      </c>
      <c r="C8" s="4">
        <v>0</v>
      </c>
      <c r="D8" s="4">
        <v>1.303781E-2</v>
      </c>
      <c r="E8" s="4">
        <v>1.0111223000000001E-2</v>
      </c>
      <c r="F8" s="4">
        <v>4.6822740000000002E-3</v>
      </c>
      <c r="G8" s="4">
        <v>8.3650189999999996E-3</v>
      </c>
      <c r="H8" s="4">
        <v>5.3015239999999993E-3</v>
      </c>
      <c r="I8" s="4">
        <v>0</v>
      </c>
      <c r="J8" s="4">
        <v>1.1802574999999999E-2</v>
      </c>
      <c r="K8" s="4">
        <v>3.7209299999999999E-3</v>
      </c>
      <c r="L8" s="4">
        <v>0</v>
      </c>
      <c r="M8" s="4">
        <v>4.6620050000000003E-3</v>
      </c>
      <c r="N8" s="4">
        <v>8.8365240000000001E-3</v>
      </c>
      <c r="O8" s="4">
        <v>0</v>
      </c>
      <c r="P8" s="4">
        <v>4.5489010000000002E-3</v>
      </c>
      <c r="Q8" s="4">
        <v>0</v>
      </c>
      <c r="R8" s="4">
        <f t="shared" si="0"/>
        <v>5.4596123124999998E-3</v>
      </c>
    </row>
    <row r="9" spans="1:18" x14ac:dyDescent="0.4">
      <c r="A9" s="7" t="s">
        <v>76</v>
      </c>
      <c r="B9" s="8">
        <v>5.487305E-2</v>
      </c>
      <c r="C9" s="8">
        <v>7.958163E-2</v>
      </c>
      <c r="D9" s="8">
        <v>0.13559321999999999</v>
      </c>
      <c r="E9" s="8">
        <v>0.13549038999999999</v>
      </c>
      <c r="F9" s="8">
        <v>9.5652169999999995E-2</v>
      </c>
      <c r="G9" s="8">
        <v>7.6045630000000003E-2</v>
      </c>
      <c r="H9" s="8">
        <v>8.3499009999999999E-2</v>
      </c>
      <c r="I9" s="8">
        <v>3.7837839999999998E-2</v>
      </c>
      <c r="J9" s="8">
        <v>7.0815450000000002E-2</v>
      </c>
      <c r="K9" s="8">
        <v>6.5116279999999999E-2</v>
      </c>
      <c r="L9" s="8">
        <v>0.14361702000000001</v>
      </c>
      <c r="M9" s="8">
        <v>6.8764569999999997E-2</v>
      </c>
      <c r="N9" s="8">
        <v>7.8055959999999994E-2</v>
      </c>
      <c r="O9" s="8">
        <v>0</v>
      </c>
      <c r="P9" s="8">
        <v>2.956785E-2</v>
      </c>
      <c r="Q9" s="8">
        <v>4.9180330000000001E-2</v>
      </c>
      <c r="R9" s="8">
        <f t="shared" si="0"/>
        <v>7.5230649999999996E-2</v>
      </c>
    </row>
    <row r="10" spans="1:18" x14ac:dyDescent="0.4">
      <c r="A10" s="3" t="s">
        <v>94</v>
      </c>
      <c r="B10" s="4">
        <v>0</v>
      </c>
      <c r="C10" s="4">
        <v>2.273761E-3</v>
      </c>
      <c r="D10" s="4">
        <v>1.0430248E-2</v>
      </c>
      <c r="E10" s="4">
        <v>2.0222450000000002E-3</v>
      </c>
      <c r="F10" s="4">
        <v>0</v>
      </c>
      <c r="G10" s="4">
        <v>0</v>
      </c>
      <c r="H10" s="4">
        <v>1.325381E-2</v>
      </c>
      <c r="I10" s="4">
        <v>7.2072070000000002E-3</v>
      </c>
      <c r="J10" s="4">
        <v>0</v>
      </c>
      <c r="K10" s="4">
        <v>0</v>
      </c>
      <c r="L10" s="4">
        <v>1.5957447E-2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f t="shared" si="0"/>
        <v>3.1965448749999999E-3</v>
      </c>
    </row>
    <row r="11" spans="1:18" x14ac:dyDescent="0.4">
      <c r="A11" s="7" t="s">
        <v>83</v>
      </c>
      <c r="B11" s="8">
        <v>0</v>
      </c>
      <c r="C11" s="8">
        <v>1.2278308E-2</v>
      </c>
      <c r="D11" s="8">
        <v>1.9556713999999999E-2</v>
      </c>
      <c r="E11" s="8">
        <v>1.5166835E-2</v>
      </c>
      <c r="F11" s="8">
        <v>0</v>
      </c>
      <c r="G11" s="8">
        <v>0</v>
      </c>
      <c r="H11" s="8">
        <v>1.5241882E-2</v>
      </c>
      <c r="I11" s="8">
        <v>0</v>
      </c>
      <c r="J11" s="8">
        <v>0</v>
      </c>
      <c r="K11" s="8">
        <v>0</v>
      </c>
      <c r="L11" s="8">
        <v>5.3191489000000002E-2</v>
      </c>
      <c r="M11" s="8">
        <v>0</v>
      </c>
      <c r="N11" s="8">
        <v>0</v>
      </c>
      <c r="O11" s="8">
        <v>0</v>
      </c>
      <c r="P11" s="8">
        <v>2.2744502999999999E-2</v>
      </c>
      <c r="Q11" s="8">
        <v>3.3751204999999999E-2</v>
      </c>
      <c r="R11" s="8">
        <f t="shared" si="0"/>
        <v>1.07456835E-2</v>
      </c>
    </row>
    <row r="12" spans="1:18" x14ac:dyDescent="0.4">
      <c r="A12" s="3" t="s">
        <v>75</v>
      </c>
      <c r="B12" s="4">
        <v>2.7846027999999998E-2</v>
      </c>
      <c r="C12" s="4">
        <v>0</v>
      </c>
      <c r="D12" s="4">
        <v>0</v>
      </c>
      <c r="E12" s="4">
        <v>5.0556120000000001E-3</v>
      </c>
      <c r="F12" s="4">
        <v>1.4046823E-2</v>
      </c>
      <c r="G12" s="4">
        <v>1.0646388E-2</v>
      </c>
      <c r="H12" s="4">
        <v>0</v>
      </c>
      <c r="I12" s="4">
        <v>1.0810811E-2</v>
      </c>
      <c r="J12" s="4">
        <v>1.9313304999999999E-2</v>
      </c>
      <c r="K12" s="4">
        <v>4.2790698000000002E-2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3.8572810000000002E-3</v>
      </c>
      <c r="R12" s="4">
        <f t="shared" si="0"/>
        <v>8.3979341249999992E-3</v>
      </c>
    </row>
    <row r="13" spans="1:18" x14ac:dyDescent="0.4">
      <c r="A13" s="7" t="s">
        <v>66</v>
      </c>
      <c r="B13" s="8">
        <v>3.1941032000000001E-2</v>
      </c>
      <c r="C13" s="8">
        <v>2.0009095000000001E-2</v>
      </c>
      <c r="D13" s="8">
        <v>3.9765319E-2</v>
      </c>
      <c r="E13" s="8">
        <v>6.0667341E-2</v>
      </c>
      <c r="F13" s="8">
        <v>1.270903E-2</v>
      </c>
      <c r="G13" s="8">
        <v>2.3574143999999998E-2</v>
      </c>
      <c r="H13" s="8">
        <v>4.9039099000000003E-2</v>
      </c>
      <c r="I13" s="8">
        <v>1.3213213E-2</v>
      </c>
      <c r="J13" s="8">
        <v>3.3261803E-2</v>
      </c>
      <c r="K13" s="8">
        <v>3.2558139999999999E-2</v>
      </c>
      <c r="L13" s="8">
        <v>0</v>
      </c>
      <c r="M13" s="8">
        <v>2.6806527E-2</v>
      </c>
      <c r="N13" s="8">
        <v>2.7982327000000001E-2</v>
      </c>
      <c r="O13" s="8">
        <v>0</v>
      </c>
      <c r="P13" s="8">
        <v>3.3358605E-2</v>
      </c>
      <c r="Q13" s="8">
        <v>3.5679846000000001E-2</v>
      </c>
      <c r="R13" s="8">
        <f t="shared" si="0"/>
        <v>2.7535345062500004E-2</v>
      </c>
    </row>
    <row r="14" spans="1:18" x14ac:dyDescent="0.4">
      <c r="A14" s="3" t="s">
        <v>93</v>
      </c>
      <c r="B14" s="4">
        <v>0</v>
      </c>
      <c r="C14" s="4">
        <v>3.6380169999999999E-3</v>
      </c>
      <c r="D14" s="4">
        <v>0</v>
      </c>
      <c r="E14" s="4">
        <v>5.0556120000000001E-3</v>
      </c>
      <c r="F14" s="4">
        <v>0</v>
      </c>
      <c r="G14" s="4">
        <v>0</v>
      </c>
      <c r="H14" s="4">
        <v>0</v>
      </c>
      <c r="I14" s="4">
        <v>6.0060060000000004E-3</v>
      </c>
      <c r="J14" s="4">
        <v>0</v>
      </c>
      <c r="K14" s="4">
        <v>0</v>
      </c>
      <c r="L14" s="4">
        <v>1.3297872000000001E-2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f t="shared" si="0"/>
        <v>1.7498441874999999E-3</v>
      </c>
    </row>
    <row r="15" spans="1:18" x14ac:dyDescent="0.4">
      <c r="A15" s="7" t="s">
        <v>97</v>
      </c>
      <c r="B15" s="8">
        <v>1.3923013999999999E-2</v>
      </c>
      <c r="C15" s="8">
        <v>0</v>
      </c>
      <c r="D15" s="8">
        <v>0</v>
      </c>
      <c r="E15" s="8">
        <v>0</v>
      </c>
      <c r="F15" s="8">
        <v>0</v>
      </c>
      <c r="G15" s="8">
        <v>7.6045629999999999E-3</v>
      </c>
      <c r="H15" s="8">
        <v>0</v>
      </c>
      <c r="I15" s="8">
        <v>3.6036039999999998E-3</v>
      </c>
      <c r="J15" s="8">
        <v>0</v>
      </c>
      <c r="K15" s="8">
        <v>0</v>
      </c>
      <c r="L15" s="8">
        <v>2.393617E-2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f t="shared" si="0"/>
        <v>3.0667094374999997E-3</v>
      </c>
    </row>
    <row r="16" spans="1:18" x14ac:dyDescent="0.4">
      <c r="A16" s="3" t="s">
        <v>69</v>
      </c>
      <c r="B16" s="4">
        <v>4.0950041E-2</v>
      </c>
      <c r="C16" s="4">
        <v>4.6839472E-2</v>
      </c>
      <c r="D16" s="4">
        <v>3.8461538000000003E-2</v>
      </c>
      <c r="E16" s="4">
        <v>1.2133468E-2</v>
      </c>
      <c r="F16" s="4">
        <v>2.1404682000000001E-2</v>
      </c>
      <c r="G16" s="4">
        <v>5.627376399999999E-2</v>
      </c>
      <c r="H16" s="4">
        <v>4.0424122E-2</v>
      </c>
      <c r="I16" s="4">
        <v>8.4084079999999992E-3</v>
      </c>
      <c r="J16" s="4">
        <v>0.113733906</v>
      </c>
      <c r="K16" s="4">
        <v>8.6511627999999993E-2</v>
      </c>
      <c r="L16" s="4">
        <v>0</v>
      </c>
      <c r="M16" s="4">
        <v>3.3799533999999999E-2</v>
      </c>
      <c r="N16" s="4">
        <v>9.7201766999999994E-2</v>
      </c>
      <c r="O16" s="4">
        <v>0</v>
      </c>
      <c r="P16" s="4">
        <v>4.7763457000000002E-2</v>
      </c>
      <c r="Q16" s="4">
        <v>3.9537125999999999E-2</v>
      </c>
      <c r="R16" s="4">
        <f t="shared" si="0"/>
        <v>4.2715182062499996E-2</v>
      </c>
    </row>
    <row r="17" spans="1:18" x14ac:dyDescent="0.4">
      <c r="A17" s="7" t="s">
        <v>65</v>
      </c>
      <c r="B17" s="8">
        <v>6.7158067000000002E-2</v>
      </c>
      <c r="C17" s="8">
        <v>5.3206003000000002E-2</v>
      </c>
      <c r="D17" s="8">
        <v>7.1707949999999998E-3</v>
      </c>
      <c r="E17" s="8">
        <v>2.0222450000000002E-3</v>
      </c>
      <c r="F17" s="8">
        <v>7.8260869999999996E-2</v>
      </c>
      <c r="G17" s="8">
        <v>7.3764258999999999E-2</v>
      </c>
      <c r="H17" s="8">
        <v>2.2531478000000001E-2</v>
      </c>
      <c r="I17" s="8">
        <v>0.118918919</v>
      </c>
      <c r="J17" s="8">
        <v>0.15665236099999999</v>
      </c>
      <c r="K17" s="8">
        <v>0.13767441899999999</v>
      </c>
      <c r="L17" s="8">
        <v>0.119680851</v>
      </c>
      <c r="M17" s="8">
        <v>4.8951049000000003E-2</v>
      </c>
      <c r="N17" s="8">
        <v>7.8055965000000005E-2</v>
      </c>
      <c r="O17" s="8">
        <v>0</v>
      </c>
      <c r="P17" s="8">
        <v>7.5056861000000002E-2</v>
      </c>
      <c r="Q17" s="8">
        <v>8.3895853000000006E-2</v>
      </c>
      <c r="R17" s="8">
        <f t="shared" si="0"/>
        <v>7.0187499687500002E-2</v>
      </c>
    </row>
    <row r="18" spans="1:18" x14ac:dyDescent="0.4">
      <c r="A18" s="3" t="s">
        <v>67</v>
      </c>
      <c r="B18" s="4">
        <v>3.7674038E-2</v>
      </c>
      <c r="C18" s="4">
        <v>4.547522E-3</v>
      </c>
      <c r="D18" s="4">
        <v>0</v>
      </c>
      <c r="E18" s="4">
        <v>3.1344793000000003E-2</v>
      </c>
      <c r="F18" s="4">
        <v>4.0133779999999997E-3</v>
      </c>
      <c r="G18" s="4">
        <v>1.2927757E-2</v>
      </c>
      <c r="H18" s="4">
        <v>1.1928429000000001E-2</v>
      </c>
      <c r="I18" s="4">
        <v>1.1411411E-2</v>
      </c>
      <c r="J18" s="4">
        <v>0</v>
      </c>
      <c r="K18" s="4">
        <v>0</v>
      </c>
      <c r="L18" s="4">
        <v>0.10372340400000001</v>
      </c>
      <c r="M18" s="4">
        <v>0</v>
      </c>
      <c r="N18" s="4">
        <v>0</v>
      </c>
      <c r="O18" s="4">
        <v>0</v>
      </c>
      <c r="P18" s="4">
        <v>2.1228203000000001E-2</v>
      </c>
      <c r="Q18" s="4">
        <v>0</v>
      </c>
      <c r="R18" s="4">
        <f t="shared" si="0"/>
        <v>1.4924933437499999E-2</v>
      </c>
    </row>
    <row r="19" spans="1:18" x14ac:dyDescent="0.4">
      <c r="A19" s="7" t="s">
        <v>86</v>
      </c>
      <c r="B19" s="8">
        <v>1.8018018E-2</v>
      </c>
      <c r="C19" s="8">
        <v>0</v>
      </c>
      <c r="D19" s="8">
        <v>0</v>
      </c>
      <c r="E19" s="8">
        <v>5.0556120000000001E-3</v>
      </c>
      <c r="F19" s="8">
        <v>0</v>
      </c>
      <c r="G19" s="8">
        <v>0</v>
      </c>
      <c r="H19" s="8">
        <v>0</v>
      </c>
      <c r="I19" s="8">
        <v>7.2072070000000002E-3</v>
      </c>
      <c r="J19" s="8">
        <v>4.2918449999999999E-3</v>
      </c>
      <c r="K19" s="8">
        <v>0</v>
      </c>
      <c r="L19" s="8">
        <v>0</v>
      </c>
      <c r="M19" s="8">
        <v>2.331002E-3</v>
      </c>
      <c r="N19" s="8">
        <v>0</v>
      </c>
      <c r="O19" s="8">
        <v>0</v>
      </c>
      <c r="P19" s="8">
        <v>5.3070510000000001E-3</v>
      </c>
      <c r="Q19" s="8">
        <v>0</v>
      </c>
      <c r="R19" s="8">
        <f t="shared" si="0"/>
        <v>2.6381709375E-3</v>
      </c>
    </row>
    <row r="20" spans="1:18" x14ac:dyDescent="0.4">
      <c r="A20" s="3" t="s">
        <v>58</v>
      </c>
      <c r="B20" s="4">
        <v>1.7199017E-2</v>
      </c>
      <c r="C20" s="4">
        <v>4.7748976999999998E-2</v>
      </c>
      <c r="D20" s="4">
        <v>1.5645372000000001E-2</v>
      </c>
      <c r="E20" s="4">
        <v>1.4155713E-2</v>
      </c>
      <c r="F20" s="4">
        <v>4.8829431E-2</v>
      </c>
      <c r="G20" s="4">
        <v>2.9657795000000001E-2</v>
      </c>
      <c r="H20" s="4">
        <v>9.9403579999999998E-3</v>
      </c>
      <c r="I20" s="4">
        <v>6.0660660999999991E-2</v>
      </c>
      <c r="J20" s="4">
        <v>1.6094421000000001E-2</v>
      </c>
      <c r="K20" s="4">
        <v>1.4883721000000001E-2</v>
      </c>
      <c r="L20" s="4">
        <v>2.6595745E-2</v>
      </c>
      <c r="M20" s="4">
        <v>1.0489510000000001E-2</v>
      </c>
      <c r="N20" s="4">
        <v>1.4727541E-2</v>
      </c>
      <c r="O20" s="4">
        <v>0</v>
      </c>
      <c r="P20" s="4">
        <v>1.5163002E-2</v>
      </c>
      <c r="Q20" s="4">
        <v>2.7965284E-2</v>
      </c>
      <c r="R20" s="4">
        <f t="shared" si="0"/>
        <v>2.3109784249999998E-2</v>
      </c>
    </row>
    <row r="21" spans="1:18" x14ac:dyDescent="0.4">
      <c r="A21" s="7" t="s">
        <v>72</v>
      </c>
      <c r="B21" s="8">
        <v>2.3751023999999999E-2</v>
      </c>
      <c r="C21" s="8">
        <v>4.547522E-3</v>
      </c>
      <c r="D21" s="8">
        <v>0</v>
      </c>
      <c r="E21" s="8">
        <v>9.1001009999999993E-3</v>
      </c>
      <c r="F21" s="8">
        <v>6.688963E-3</v>
      </c>
      <c r="G21" s="8">
        <v>9.8859320000000001E-3</v>
      </c>
      <c r="H21" s="8">
        <v>6.6269049999999998E-3</v>
      </c>
      <c r="I21" s="8">
        <v>1.6816817000000001E-2</v>
      </c>
      <c r="J21" s="8">
        <v>7.5107300000000002E-3</v>
      </c>
      <c r="K21" s="8">
        <v>1.8604651E-2</v>
      </c>
      <c r="L21" s="8">
        <v>2.1276595999999998E-2</v>
      </c>
      <c r="M21" s="8">
        <v>0</v>
      </c>
      <c r="N21" s="8">
        <v>0</v>
      </c>
      <c r="O21" s="8">
        <v>0</v>
      </c>
      <c r="P21" s="8">
        <v>9.0978010000000008E-3</v>
      </c>
      <c r="Q21" s="8">
        <v>0</v>
      </c>
      <c r="R21" s="8">
        <f t="shared" si="0"/>
        <v>8.3691901250000002E-3</v>
      </c>
    </row>
    <row r="22" spans="1:18" x14ac:dyDescent="0.4">
      <c r="A22" s="3" t="s">
        <v>88</v>
      </c>
      <c r="B22" s="4">
        <v>4.6683046999999998E-2</v>
      </c>
      <c r="C22" s="4">
        <v>1.682583E-2</v>
      </c>
      <c r="D22" s="4">
        <v>0</v>
      </c>
      <c r="E22" s="4">
        <v>0</v>
      </c>
      <c r="F22" s="4">
        <v>0</v>
      </c>
      <c r="G22" s="4">
        <v>3.1939163E-2</v>
      </c>
      <c r="H22" s="4">
        <v>9.9403579999999998E-3</v>
      </c>
      <c r="I22" s="4">
        <v>2.8828829E-2</v>
      </c>
      <c r="J22" s="4">
        <v>4.8283262E-2</v>
      </c>
      <c r="K22" s="4">
        <v>2.9767442000000002E-2</v>
      </c>
      <c r="L22" s="4">
        <v>3.1914893999999999E-2</v>
      </c>
      <c r="M22" s="4">
        <v>9.3240089999999994E-3</v>
      </c>
      <c r="N22" s="4">
        <v>5.8910159999999998E-3</v>
      </c>
      <c r="O22" s="4">
        <v>0</v>
      </c>
      <c r="P22" s="4">
        <v>1.8195603000000001E-2</v>
      </c>
      <c r="Q22" s="4">
        <v>0</v>
      </c>
      <c r="R22" s="4">
        <f t="shared" si="0"/>
        <v>1.7349590812500003E-2</v>
      </c>
    </row>
    <row r="23" spans="1:18" x14ac:dyDescent="0.4">
      <c r="A23" s="7" t="s">
        <v>71</v>
      </c>
      <c r="B23" s="8">
        <v>0</v>
      </c>
      <c r="C23" s="8">
        <v>1.13688E-2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1.06141E-2</v>
      </c>
      <c r="Q23" s="8">
        <v>0</v>
      </c>
      <c r="R23" s="8">
        <f t="shared" si="0"/>
        <v>1.37393125E-3</v>
      </c>
    </row>
    <row r="24" spans="1:18" x14ac:dyDescent="0.4">
      <c r="A24" s="3" t="s">
        <v>54</v>
      </c>
      <c r="B24" s="4">
        <v>4.0950040000000002E-3</v>
      </c>
      <c r="C24" s="4">
        <v>1.8190089999999999E-3</v>
      </c>
      <c r="D24" s="4">
        <v>0</v>
      </c>
      <c r="E24" s="4">
        <v>0</v>
      </c>
      <c r="F24" s="4">
        <v>1.8060201000000001E-2</v>
      </c>
      <c r="G24" s="4">
        <v>2.1292775999999999E-2</v>
      </c>
      <c r="H24" s="4">
        <v>0</v>
      </c>
      <c r="I24" s="4">
        <v>6.1261260999999997E-2</v>
      </c>
      <c r="J24" s="4">
        <v>2.1459230000000001E-3</v>
      </c>
      <c r="K24" s="4">
        <v>4.6511629999999998E-3</v>
      </c>
      <c r="L24" s="4">
        <v>0</v>
      </c>
      <c r="M24" s="4">
        <v>0</v>
      </c>
      <c r="N24" s="4">
        <v>0</v>
      </c>
      <c r="O24" s="4">
        <v>0</v>
      </c>
      <c r="P24" s="4">
        <v>8.339651E-3</v>
      </c>
      <c r="Q24" s="4">
        <v>1.2536162E-2</v>
      </c>
      <c r="R24" s="4">
        <f t="shared" si="0"/>
        <v>8.3875718749999995E-3</v>
      </c>
    </row>
    <row r="25" spans="1:18" x14ac:dyDescent="0.4">
      <c r="A25" s="7" t="s">
        <v>61</v>
      </c>
      <c r="B25" s="8">
        <v>0</v>
      </c>
      <c r="C25" s="8">
        <v>9.6862210000000004E-2</v>
      </c>
      <c r="D25" s="8">
        <v>7.2359839999999995E-2</v>
      </c>
      <c r="E25" s="8">
        <v>6.7745200000000005E-2</v>
      </c>
      <c r="F25" s="8">
        <v>5.5518390000000008E-2</v>
      </c>
      <c r="G25" s="8">
        <v>5.8555129999999997E-2</v>
      </c>
      <c r="H25" s="8">
        <v>3.909874E-2</v>
      </c>
      <c r="I25" s="8">
        <v>3.4834829999999997E-2</v>
      </c>
      <c r="J25" s="8">
        <v>0</v>
      </c>
      <c r="K25" s="8">
        <v>1.023256E-2</v>
      </c>
      <c r="L25" s="8">
        <v>2.12766E-2</v>
      </c>
      <c r="M25" s="8">
        <v>0.10139860000000001</v>
      </c>
      <c r="N25" s="8">
        <v>0.16789396000000001</v>
      </c>
      <c r="O25" s="8">
        <v>0</v>
      </c>
      <c r="P25" s="8">
        <v>4.7005310000000002E-2</v>
      </c>
      <c r="Q25" s="8">
        <v>8.3895849999999994E-2</v>
      </c>
      <c r="R25" s="8">
        <f t="shared" si="0"/>
        <v>5.3542326250000001E-2</v>
      </c>
    </row>
    <row r="26" spans="1:18" x14ac:dyDescent="0.4">
      <c r="A26" s="3" t="s">
        <v>68</v>
      </c>
      <c r="B26" s="4">
        <v>2.9484030000000001E-2</v>
      </c>
      <c r="C26" s="4">
        <v>1.455207E-2</v>
      </c>
      <c r="D26" s="4">
        <v>4.1069099999999997E-2</v>
      </c>
      <c r="E26" s="4">
        <v>4.6511629999999998E-2</v>
      </c>
      <c r="F26" s="4">
        <v>2.4080270000000001E-2</v>
      </c>
      <c r="G26" s="4">
        <v>3.8783270000000002E-2</v>
      </c>
      <c r="H26" s="4">
        <v>7.5546719999999998E-2</v>
      </c>
      <c r="I26" s="4">
        <v>1.321321E-2</v>
      </c>
      <c r="J26" s="4">
        <v>1.7167379999999999E-2</v>
      </c>
      <c r="K26" s="4">
        <v>1.023256E-2</v>
      </c>
      <c r="L26" s="4">
        <v>0</v>
      </c>
      <c r="M26" s="4">
        <v>3.3799530000000001E-2</v>
      </c>
      <c r="N26" s="4">
        <v>3.0927840000000002E-2</v>
      </c>
      <c r="O26" s="4">
        <v>0</v>
      </c>
      <c r="P26" s="4">
        <v>3.2600450000000003E-2</v>
      </c>
      <c r="Q26" s="4">
        <v>0</v>
      </c>
      <c r="R26" s="4">
        <f t="shared" si="0"/>
        <v>2.5498003749999998E-2</v>
      </c>
    </row>
    <row r="27" spans="1:18" x14ac:dyDescent="0.4">
      <c r="A27" s="7" t="s">
        <v>64</v>
      </c>
      <c r="B27" s="8">
        <v>1.4742015000000001E-2</v>
      </c>
      <c r="C27" s="8">
        <v>1.3187813E-2</v>
      </c>
      <c r="D27" s="8">
        <v>1.1082138E-2</v>
      </c>
      <c r="E27" s="8">
        <v>0</v>
      </c>
      <c r="F27" s="8">
        <v>0</v>
      </c>
      <c r="G27" s="8">
        <v>0</v>
      </c>
      <c r="H27" s="8">
        <v>1.2591120000000001E-2</v>
      </c>
      <c r="I27" s="8">
        <v>1.5015015E-2</v>
      </c>
      <c r="J27" s="8">
        <v>9.6566519999999999E-3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f t="shared" si="0"/>
        <v>4.7671720625000009E-3</v>
      </c>
    </row>
    <row r="28" spans="1:18" x14ac:dyDescent="0.4">
      <c r="A28" s="3" t="s">
        <v>74</v>
      </c>
      <c r="B28" s="4">
        <v>0</v>
      </c>
      <c r="C28" s="4">
        <v>9.5497949999999998E-3</v>
      </c>
      <c r="D28" s="4">
        <v>2.2816166999999998E-2</v>
      </c>
      <c r="E28" s="4">
        <v>0</v>
      </c>
      <c r="F28" s="4">
        <v>1.8729097E-2</v>
      </c>
      <c r="G28" s="4">
        <v>1.5209125E-2</v>
      </c>
      <c r="H28" s="4">
        <v>9.2776669999999999E-3</v>
      </c>
      <c r="I28" s="4">
        <v>7.8078080000000003E-3</v>
      </c>
      <c r="J28" s="4">
        <v>4.2918449999999999E-3</v>
      </c>
      <c r="K28" s="4">
        <v>7.4418599999999998E-3</v>
      </c>
      <c r="L28" s="4">
        <v>0</v>
      </c>
      <c r="M28" s="4">
        <v>1.8648018999999998E-2</v>
      </c>
      <c r="N28" s="4">
        <v>0</v>
      </c>
      <c r="O28" s="4">
        <v>0</v>
      </c>
      <c r="P28" s="4">
        <v>2.5018953999999999E-2</v>
      </c>
      <c r="Q28" s="4">
        <v>1.4464802000000001E-2</v>
      </c>
      <c r="R28" s="4">
        <f t="shared" si="0"/>
        <v>9.5784461875000008E-3</v>
      </c>
    </row>
    <row r="29" spans="1:18" x14ac:dyDescent="0.4">
      <c r="A29" s="7" t="s">
        <v>89</v>
      </c>
      <c r="B29" s="8">
        <v>0</v>
      </c>
      <c r="C29" s="8">
        <v>0</v>
      </c>
      <c r="D29" s="8">
        <v>0</v>
      </c>
      <c r="E29" s="8">
        <v>0</v>
      </c>
      <c r="F29" s="8">
        <v>6.0200669999999996E-3</v>
      </c>
      <c r="G29" s="8">
        <v>0</v>
      </c>
      <c r="H29" s="8">
        <v>0</v>
      </c>
      <c r="I29" s="8">
        <v>7.2072070000000002E-3</v>
      </c>
      <c r="J29" s="8">
        <v>3.218884E-3</v>
      </c>
      <c r="K29" s="8">
        <v>6.5116280000000002E-3</v>
      </c>
      <c r="L29" s="8">
        <v>0</v>
      </c>
      <c r="M29" s="8">
        <v>0</v>
      </c>
      <c r="N29" s="8">
        <v>0</v>
      </c>
      <c r="O29" s="8">
        <v>0</v>
      </c>
      <c r="P29" s="8">
        <v>3.7907510000000002E-3</v>
      </c>
      <c r="Q29" s="8">
        <v>4.821601E-3</v>
      </c>
      <c r="R29" s="8">
        <f t="shared" si="0"/>
        <v>1.9731336250000003E-3</v>
      </c>
    </row>
    <row r="30" spans="1:18" x14ac:dyDescent="0.4">
      <c r="A30" s="3" t="s">
        <v>23</v>
      </c>
      <c r="B30" s="4">
        <v>8.1900081999999996E-3</v>
      </c>
      <c r="C30" s="4">
        <v>0</v>
      </c>
      <c r="D30" s="4">
        <v>3.2594524000000001E-3</v>
      </c>
      <c r="E30" s="4">
        <v>0</v>
      </c>
      <c r="F30" s="4">
        <v>2.6755853E-3</v>
      </c>
      <c r="G30" s="4">
        <v>1.2167300400000001E-2</v>
      </c>
      <c r="H30" s="4">
        <v>0</v>
      </c>
      <c r="I30" s="4">
        <v>5.285285289999999E-2</v>
      </c>
      <c r="J30" s="4">
        <v>2.1459227E-3</v>
      </c>
      <c r="K30" s="4">
        <v>2.7906977000000002E-3</v>
      </c>
      <c r="L30" s="4">
        <v>1.06382979E-2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f t="shared" si="0"/>
        <v>5.9200073437499987E-3</v>
      </c>
    </row>
    <row r="31" spans="1:18" x14ac:dyDescent="0.4">
      <c r="A31" s="7" t="s">
        <v>96</v>
      </c>
      <c r="B31" s="8">
        <v>0</v>
      </c>
      <c r="C31" s="8">
        <v>0</v>
      </c>
      <c r="D31" s="8">
        <v>3.2594519999999999E-3</v>
      </c>
      <c r="E31" s="8">
        <v>2.0222450000000002E-3</v>
      </c>
      <c r="F31" s="8">
        <v>0</v>
      </c>
      <c r="G31" s="8">
        <v>0</v>
      </c>
      <c r="H31" s="8">
        <v>1.988072E-3</v>
      </c>
      <c r="I31" s="8">
        <v>0</v>
      </c>
      <c r="J31" s="8">
        <v>0</v>
      </c>
      <c r="K31" s="8">
        <v>0</v>
      </c>
      <c r="L31" s="8">
        <v>0</v>
      </c>
      <c r="M31" s="8">
        <v>8.1585080000000001E-3</v>
      </c>
      <c r="N31" s="8">
        <v>0</v>
      </c>
      <c r="O31" s="8">
        <v>0</v>
      </c>
      <c r="P31" s="8">
        <v>5.3070510000000001E-3</v>
      </c>
      <c r="Q31" s="8">
        <v>4.821601E-3</v>
      </c>
      <c r="R31" s="8">
        <f t="shared" si="0"/>
        <v>1.5973080624999999E-3</v>
      </c>
    </row>
    <row r="32" spans="1:18" x14ac:dyDescent="0.4">
      <c r="A32" s="3" t="s">
        <v>62</v>
      </c>
      <c r="B32" s="4">
        <v>3.5217039999999998E-2</v>
      </c>
      <c r="C32" s="4">
        <v>0.14733969999999999</v>
      </c>
      <c r="D32" s="4">
        <v>9.9739240000000007E-2</v>
      </c>
      <c r="E32" s="4">
        <v>7.3811929999999998E-2</v>
      </c>
      <c r="F32" s="4">
        <v>0.10234114</v>
      </c>
      <c r="G32" s="4">
        <v>0.12091254999999999</v>
      </c>
      <c r="H32" s="4">
        <v>0.10271703</v>
      </c>
      <c r="I32" s="4">
        <v>5.8258259999999992E-2</v>
      </c>
      <c r="J32" s="4">
        <v>2.0386270000000001E-2</v>
      </c>
      <c r="K32" s="4">
        <v>3.7209300000000001E-2</v>
      </c>
      <c r="L32" s="4">
        <v>3.4574470000000003E-2</v>
      </c>
      <c r="M32" s="4">
        <v>8.8578089999999998E-2</v>
      </c>
      <c r="N32" s="4">
        <v>0.17820324000000001</v>
      </c>
      <c r="O32" s="4">
        <v>0</v>
      </c>
      <c r="P32" s="4">
        <v>7.6573160000000001E-2</v>
      </c>
      <c r="Q32" s="4">
        <v>8.8717450000000003E-2</v>
      </c>
      <c r="R32" s="4">
        <f t="shared" si="0"/>
        <v>7.9036179375000001E-2</v>
      </c>
    </row>
    <row r="33" spans="1:18" x14ac:dyDescent="0.4">
      <c r="A33" s="7" t="s">
        <v>85</v>
      </c>
      <c r="B33" s="8">
        <v>0</v>
      </c>
      <c r="C33" s="8">
        <v>3.8653930000000003E-2</v>
      </c>
      <c r="D33" s="8">
        <v>7.3011729999999997E-2</v>
      </c>
      <c r="E33" s="8">
        <v>1.82002E-2</v>
      </c>
      <c r="F33" s="8">
        <v>4.6822740000000002E-2</v>
      </c>
      <c r="G33" s="8">
        <v>3.1939160000000001E-2</v>
      </c>
      <c r="H33" s="8">
        <v>4.7051030000000001E-2</v>
      </c>
      <c r="I33" s="8">
        <v>1.9819819999999998E-2</v>
      </c>
      <c r="J33" s="8">
        <v>1.8240340000000001E-2</v>
      </c>
      <c r="K33" s="8">
        <v>2.4186050000000001E-2</v>
      </c>
      <c r="L33" s="8">
        <v>0</v>
      </c>
      <c r="M33" s="8">
        <v>1.9813520000000001E-2</v>
      </c>
      <c r="N33" s="8">
        <v>0</v>
      </c>
      <c r="O33" s="8">
        <v>0</v>
      </c>
      <c r="P33" s="8">
        <v>2.4260799999999999E-2</v>
      </c>
      <c r="Q33" s="8">
        <v>4.0501450000000001E-2</v>
      </c>
      <c r="R33" s="8">
        <f t="shared" si="0"/>
        <v>2.5156298125E-2</v>
      </c>
    </row>
    <row r="34" spans="1:18" x14ac:dyDescent="0.4">
      <c r="A34" s="3" t="s">
        <v>79</v>
      </c>
      <c r="B34" s="4">
        <v>0</v>
      </c>
      <c r="C34" s="4">
        <v>0</v>
      </c>
      <c r="D34" s="4">
        <v>0</v>
      </c>
      <c r="E34" s="4">
        <v>0</v>
      </c>
      <c r="F34" s="4">
        <v>7.3578599999999991E-3</v>
      </c>
      <c r="G34" s="4">
        <v>0</v>
      </c>
      <c r="H34" s="4">
        <v>0</v>
      </c>
      <c r="I34" s="4">
        <v>3.6036039999999998E-3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f t="shared" si="0"/>
        <v>6.8509149999999993E-4</v>
      </c>
    </row>
    <row r="35" spans="1:18" x14ac:dyDescent="0.4">
      <c r="A35" s="7" t="s">
        <v>81</v>
      </c>
      <c r="B35" s="8">
        <v>0</v>
      </c>
      <c r="C35" s="8">
        <v>0</v>
      </c>
      <c r="D35" s="8">
        <v>0</v>
      </c>
      <c r="E35" s="8">
        <v>7.0778560000000004E-3</v>
      </c>
      <c r="F35" s="8">
        <v>6.0200669999999996E-3</v>
      </c>
      <c r="G35" s="8">
        <v>4.5627380000000002E-3</v>
      </c>
      <c r="H35" s="8">
        <v>0</v>
      </c>
      <c r="I35" s="8">
        <v>0</v>
      </c>
      <c r="J35" s="8">
        <v>1.1802574999999999E-2</v>
      </c>
      <c r="K35" s="8">
        <v>7.4418599999999998E-3</v>
      </c>
      <c r="L35" s="8">
        <v>0</v>
      </c>
      <c r="M35" s="8">
        <v>6.9930069999999999E-3</v>
      </c>
      <c r="N35" s="8">
        <v>0</v>
      </c>
      <c r="O35" s="8">
        <v>0</v>
      </c>
      <c r="P35" s="8">
        <v>0</v>
      </c>
      <c r="Q35" s="8">
        <v>4.821601E-3</v>
      </c>
      <c r="R35" s="8">
        <f t="shared" si="0"/>
        <v>3.0449815000000002E-3</v>
      </c>
    </row>
    <row r="36" spans="1:18" x14ac:dyDescent="0.4">
      <c r="A36" s="3" t="s">
        <v>56</v>
      </c>
      <c r="B36" s="4">
        <v>0.33988533999999998</v>
      </c>
      <c r="C36" s="4">
        <v>4.7294225000000002E-2</v>
      </c>
      <c r="D36" s="4">
        <v>0.13494133</v>
      </c>
      <c r="E36" s="4">
        <v>0.21840242700000001</v>
      </c>
      <c r="F36" s="4">
        <v>9.4314381000000003E-2</v>
      </c>
      <c r="G36" s="4">
        <v>0.113307985</v>
      </c>
      <c r="H36" s="4">
        <v>0.131875414</v>
      </c>
      <c r="I36" s="4">
        <v>0.156756757</v>
      </c>
      <c r="J36" s="4">
        <v>0.29828326199999999</v>
      </c>
      <c r="K36" s="4">
        <v>0.23627907000000001</v>
      </c>
      <c r="L36" s="4">
        <v>0.17287234000000001</v>
      </c>
      <c r="M36" s="4">
        <v>9.9067599000000006E-2</v>
      </c>
      <c r="N36" s="4">
        <v>3.3873343E-2</v>
      </c>
      <c r="O36" s="4">
        <v>3.778338E-3</v>
      </c>
      <c r="P36" s="4">
        <v>0.13343442</v>
      </c>
      <c r="Q36" s="4">
        <v>0.114754098</v>
      </c>
      <c r="R36" s="4">
        <f t="shared" si="0"/>
        <v>0.14557002056250001</v>
      </c>
    </row>
    <row r="37" spans="1:18" x14ac:dyDescent="0.4">
      <c r="A37" s="7" t="s">
        <v>84</v>
      </c>
      <c r="B37" s="8">
        <v>0</v>
      </c>
      <c r="C37" s="8">
        <v>5.0022740000000001E-3</v>
      </c>
      <c r="D37" s="8">
        <v>1.7601043E-2</v>
      </c>
      <c r="E37" s="8">
        <v>0</v>
      </c>
      <c r="F37" s="8">
        <v>2.0066889999999999E-3</v>
      </c>
      <c r="G37" s="8">
        <v>0</v>
      </c>
      <c r="H37" s="8">
        <v>1.988072E-3</v>
      </c>
      <c r="I37" s="8">
        <v>0</v>
      </c>
      <c r="J37" s="8">
        <v>0</v>
      </c>
      <c r="K37" s="8">
        <v>0</v>
      </c>
      <c r="L37" s="8">
        <v>0</v>
      </c>
      <c r="M37" s="8">
        <v>4.6620050000000003E-3</v>
      </c>
      <c r="N37" s="8">
        <v>5.8910159999999998E-3</v>
      </c>
      <c r="O37" s="8">
        <v>0</v>
      </c>
      <c r="P37" s="8">
        <v>0</v>
      </c>
      <c r="Q37" s="8">
        <v>6.7502410000000006E-3</v>
      </c>
      <c r="R37" s="8">
        <f t="shared" si="0"/>
        <v>2.7438337499999998E-3</v>
      </c>
    </row>
    <row r="38" spans="1:18" x14ac:dyDescent="0.4">
      <c r="A38" s="3" t="s">
        <v>63</v>
      </c>
      <c r="B38" s="4">
        <v>8.1900080000000004E-3</v>
      </c>
      <c r="C38" s="4">
        <v>1.8190089999999999E-3</v>
      </c>
      <c r="D38" s="4">
        <v>0</v>
      </c>
      <c r="E38" s="4">
        <v>0</v>
      </c>
      <c r="F38" s="4">
        <v>0</v>
      </c>
      <c r="G38" s="4">
        <v>3.0418250000000002E-3</v>
      </c>
      <c r="H38" s="4">
        <v>1.988072E-3</v>
      </c>
      <c r="I38" s="4">
        <v>6.6066069999999996E-3</v>
      </c>
      <c r="J38" s="4">
        <v>0</v>
      </c>
      <c r="K38" s="4">
        <v>0</v>
      </c>
      <c r="L38" s="4">
        <v>0.10372340400000001</v>
      </c>
      <c r="M38" s="4">
        <v>0</v>
      </c>
      <c r="N38" s="4">
        <v>0</v>
      </c>
      <c r="O38" s="4">
        <v>0.20025188899999999</v>
      </c>
      <c r="P38" s="4">
        <v>0</v>
      </c>
      <c r="Q38" s="4">
        <v>1.9286399999999999E-3</v>
      </c>
      <c r="R38" s="4">
        <f t="shared" si="0"/>
        <v>2.0471840874999998E-2</v>
      </c>
    </row>
    <row r="39" spans="1:18" x14ac:dyDescent="0.4">
      <c r="A39" s="7" t="s">
        <v>59</v>
      </c>
      <c r="B39" s="8">
        <v>6.2244059999999997E-2</v>
      </c>
      <c r="C39" s="8">
        <v>0.19690769</v>
      </c>
      <c r="D39" s="8">
        <v>0.11342894000000001</v>
      </c>
      <c r="E39" s="8">
        <v>0.12335693</v>
      </c>
      <c r="F39" s="8">
        <v>0.22675585000000001</v>
      </c>
      <c r="G39" s="8">
        <v>0.11330798</v>
      </c>
      <c r="H39" s="8">
        <v>0.17097415999999999</v>
      </c>
      <c r="I39" s="8">
        <v>0.13093093</v>
      </c>
      <c r="J39" s="8">
        <v>5.6866949999999993E-2</v>
      </c>
      <c r="K39" s="8">
        <v>0.12</v>
      </c>
      <c r="L39" s="8">
        <v>0</v>
      </c>
      <c r="M39" s="8">
        <v>0.10722611</v>
      </c>
      <c r="N39" s="8">
        <v>5.1546389999999997E-2</v>
      </c>
      <c r="O39" s="8">
        <v>0</v>
      </c>
      <c r="P39" s="8">
        <v>0.18347232999999999</v>
      </c>
      <c r="Q39" s="8">
        <v>0.16779171000000001</v>
      </c>
      <c r="R39" s="8">
        <f t="shared" si="0"/>
        <v>0.11405062687499999</v>
      </c>
    </row>
    <row r="40" spans="1:18" x14ac:dyDescent="0.4">
      <c r="A40" s="3" t="s">
        <v>60</v>
      </c>
      <c r="B40" s="4">
        <v>2.047502E-2</v>
      </c>
      <c r="C40" s="4">
        <v>6.6393820000000006E-2</v>
      </c>
      <c r="D40" s="4">
        <v>8.4745760000000003E-2</v>
      </c>
      <c r="E40" s="4">
        <v>8.2912029999999998E-2</v>
      </c>
      <c r="F40" s="4">
        <v>4.7491640000000002E-2</v>
      </c>
      <c r="G40" s="4">
        <v>5.6273759999999992E-2</v>
      </c>
      <c r="H40" s="4">
        <v>6.4280980000000001E-2</v>
      </c>
      <c r="I40" s="4">
        <v>2.1021020000000001E-2</v>
      </c>
      <c r="J40" s="4">
        <v>1.180258E-2</v>
      </c>
      <c r="K40" s="4">
        <v>1.9534880000000001E-2</v>
      </c>
      <c r="L40" s="4">
        <v>4.2553189999999998E-2</v>
      </c>
      <c r="M40" s="4">
        <v>9.3240089999999998E-2</v>
      </c>
      <c r="N40" s="4">
        <v>0.10603828999999999</v>
      </c>
      <c r="O40" s="4">
        <v>0</v>
      </c>
      <c r="P40" s="4">
        <v>6.2926460000000004E-2</v>
      </c>
      <c r="Q40" s="4">
        <v>7.0395369999999999E-2</v>
      </c>
      <c r="R40" s="4">
        <f t="shared" si="0"/>
        <v>5.3130305624999992E-2</v>
      </c>
    </row>
    <row r="41" spans="1:18" x14ac:dyDescent="0.4">
      <c r="A41" s="7" t="s">
        <v>82</v>
      </c>
      <c r="B41" s="8">
        <v>8.1900080000000004E-3</v>
      </c>
      <c r="C41" s="8">
        <v>7.7307870000000002E-3</v>
      </c>
      <c r="D41" s="8">
        <v>0</v>
      </c>
      <c r="E41" s="8">
        <v>0</v>
      </c>
      <c r="F41" s="8">
        <v>4.6822740000000002E-3</v>
      </c>
      <c r="G41" s="8">
        <v>7.6045629999999999E-3</v>
      </c>
      <c r="H41" s="8">
        <v>6.6269049999999998E-3</v>
      </c>
      <c r="I41" s="8">
        <v>9.6096099999999993E-3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2.1986353E-2</v>
      </c>
      <c r="Q41" s="8">
        <v>0</v>
      </c>
      <c r="R41" s="8">
        <f t="shared" si="0"/>
        <v>4.1519062500000002E-3</v>
      </c>
    </row>
    <row r="42" spans="1:18" x14ac:dyDescent="0.4">
      <c r="A42" s="3" t="s">
        <v>70</v>
      </c>
      <c r="B42" s="4">
        <v>0</v>
      </c>
      <c r="C42" s="4">
        <v>1.0004548E-2</v>
      </c>
      <c r="D42" s="4">
        <v>0</v>
      </c>
      <c r="E42" s="4">
        <v>1.6177957999999999E-2</v>
      </c>
      <c r="F42" s="4">
        <v>1.0033445E-2</v>
      </c>
      <c r="G42" s="4">
        <v>3.4980988999999997E-2</v>
      </c>
      <c r="H42" s="4">
        <v>1.8555334999999999E-2</v>
      </c>
      <c r="I42" s="4">
        <v>1.6816817000000001E-2</v>
      </c>
      <c r="J42" s="4">
        <v>0</v>
      </c>
      <c r="K42" s="4">
        <v>0</v>
      </c>
      <c r="L42" s="4">
        <v>6.1170213000000008E-2</v>
      </c>
      <c r="M42" s="4">
        <v>9.3240092999999996E-2</v>
      </c>
      <c r="N42" s="4">
        <v>1.1782032E-2</v>
      </c>
      <c r="O42" s="4">
        <v>0</v>
      </c>
      <c r="P42" s="4">
        <v>0</v>
      </c>
      <c r="Q42" s="4">
        <v>2.6036644000000001E-2</v>
      </c>
      <c r="R42" s="4">
        <f t="shared" si="0"/>
        <v>1.8674879625000002E-2</v>
      </c>
    </row>
    <row r="43" spans="1:18" x14ac:dyDescent="0.4">
      <c r="A43" s="7" t="s">
        <v>90</v>
      </c>
      <c r="B43" s="8">
        <v>0</v>
      </c>
      <c r="C43" s="8">
        <v>2.273761E-3</v>
      </c>
      <c r="D43" s="8">
        <v>1.955671E-3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8.1585080000000001E-3</v>
      </c>
      <c r="N43" s="8">
        <v>0</v>
      </c>
      <c r="O43" s="8">
        <v>0</v>
      </c>
      <c r="P43" s="8">
        <v>2.8809703999999998E-2</v>
      </c>
      <c r="Q43" s="8">
        <v>1.6393443000000001E-2</v>
      </c>
      <c r="R43" s="8">
        <f t="shared" si="0"/>
        <v>3.5994429374999999E-3</v>
      </c>
    </row>
    <row r="44" spans="1:18" x14ac:dyDescent="0.4">
      <c r="A44" s="3" t="s">
        <v>87</v>
      </c>
      <c r="B44" s="4">
        <v>0</v>
      </c>
      <c r="C44" s="4">
        <v>0</v>
      </c>
      <c r="D44" s="4">
        <v>2.6075619999999999E-3</v>
      </c>
      <c r="E44" s="4">
        <v>1.8200201999999999E-2</v>
      </c>
      <c r="F44" s="4">
        <v>1.0033445E-2</v>
      </c>
      <c r="G44" s="4">
        <v>0</v>
      </c>
      <c r="H44" s="4">
        <v>6.6269049999999998E-3</v>
      </c>
      <c r="I44" s="4">
        <v>2.4024020000000001E-3</v>
      </c>
      <c r="J44" s="4">
        <v>0</v>
      </c>
      <c r="K44" s="4">
        <v>0</v>
      </c>
      <c r="L44" s="4">
        <v>0</v>
      </c>
      <c r="M44" s="4">
        <v>8.1585080000000001E-3</v>
      </c>
      <c r="N44" s="4">
        <v>1.4727541E-2</v>
      </c>
      <c r="O44" s="4">
        <v>0</v>
      </c>
      <c r="P44" s="4">
        <v>0</v>
      </c>
      <c r="Q44" s="4">
        <v>0</v>
      </c>
      <c r="R44" s="4">
        <f t="shared" si="0"/>
        <v>3.9222853125E-3</v>
      </c>
    </row>
    <row r="45" spans="1:18" x14ac:dyDescent="0.4">
      <c r="A45" s="7" t="s">
        <v>78</v>
      </c>
      <c r="B45" s="8">
        <v>0</v>
      </c>
      <c r="C45" s="8">
        <v>7.7307870000000002E-3</v>
      </c>
      <c r="D45" s="8">
        <v>0</v>
      </c>
      <c r="E45" s="8">
        <v>0</v>
      </c>
      <c r="F45" s="8">
        <v>0</v>
      </c>
      <c r="G45" s="8">
        <v>2.2813690000000001E-3</v>
      </c>
      <c r="H45" s="8">
        <v>0</v>
      </c>
      <c r="I45" s="8">
        <v>1.8018019999999999E-3</v>
      </c>
      <c r="J45" s="8">
        <v>0</v>
      </c>
      <c r="K45" s="8">
        <v>9.3023259999999997E-3</v>
      </c>
      <c r="L45" s="8">
        <v>0</v>
      </c>
      <c r="M45" s="8">
        <v>0</v>
      </c>
      <c r="N45" s="8">
        <v>0</v>
      </c>
      <c r="O45" s="8">
        <v>0</v>
      </c>
      <c r="P45" s="8">
        <v>1.2130402E-2</v>
      </c>
      <c r="Q45" s="8">
        <v>0</v>
      </c>
      <c r="R45" s="8">
        <f t="shared" si="0"/>
        <v>2.0779178749999998E-3</v>
      </c>
    </row>
    <row r="46" spans="1:18" x14ac:dyDescent="0.4">
      <c r="A46" s="3" t="s">
        <v>91</v>
      </c>
      <c r="B46" s="4">
        <v>3.1122031000000001E-2</v>
      </c>
      <c r="C46" s="4">
        <v>0</v>
      </c>
      <c r="D46" s="4">
        <v>0</v>
      </c>
      <c r="E46" s="4">
        <v>0</v>
      </c>
      <c r="F46" s="4">
        <v>1.3377926E-2</v>
      </c>
      <c r="G46" s="4">
        <v>0</v>
      </c>
      <c r="H46" s="4">
        <v>0</v>
      </c>
      <c r="I46" s="4">
        <v>3.8438437999999998E-2</v>
      </c>
      <c r="J46" s="4">
        <v>3.2188841000000003E-2</v>
      </c>
      <c r="K46" s="4">
        <v>1.8604651E-2</v>
      </c>
      <c r="L46" s="4">
        <v>0</v>
      </c>
      <c r="M46" s="4">
        <v>2.4475523999999999E-2</v>
      </c>
      <c r="N46" s="4">
        <v>0</v>
      </c>
      <c r="O46" s="4">
        <v>0</v>
      </c>
      <c r="P46" s="4">
        <v>0</v>
      </c>
      <c r="Q46" s="4">
        <v>1.8322082999999999E-2</v>
      </c>
      <c r="R46" s="4">
        <f t="shared" si="0"/>
        <v>1.1033093374999999E-2</v>
      </c>
    </row>
    <row r="47" spans="1:18" x14ac:dyDescent="0.4">
      <c r="A47" s="7" t="s">
        <v>77</v>
      </c>
      <c r="B47" s="8">
        <v>0</v>
      </c>
      <c r="C47" s="8">
        <v>1.5006821E-2</v>
      </c>
      <c r="D47" s="8">
        <v>3.9113430000000003E-3</v>
      </c>
      <c r="E47" s="8">
        <v>1.0111223000000001E-2</v>
      </c>
      <c r="F47" s="8">
        <v>0</v>
      </c>
      <c r="G47" s="8">
        <v>1.3688212999999999E-2</v>
      </c>
      <c r="H47" s="8">
        <v>1.7229953999999999E-2</v>
      </c>
      <c r="I47" s="8">
        <v>0</v>
      </c>
      <c r="J47" s="8">
        <v>0</v>
      </c>
      <c r="K47" s="8">
        <v>5.5813950000000003E-3</v>
      </c>
      <c r="L47" s="8">
        <v>0</v>
      </c>
      <c r="M47" s="8">
        <v>1.8648018999999998E-2</v>
      </c>
      <c r="N47" s="8">
        <v>4.8600883999999997E-2</v>
      </c>
      <c r="O47" s="8">
        <v>0</v>
      </c>
      <c r="P47" s="8">
        <v>9.0978010000000008E-3</v>
      </c>
      <c r="Q47" s="8">
        <v>4.821601E-3</v>
      </c>
      <c r="R47" s="8">
        <f t="shared" si="0"/>
        <v>9.1685783749999999E-3</v>
      </c>
    </row>
  </sheetData>
  <autoFilter ref="A3:R47" xr:uid="{00000000-0009-0000-0000-00000D000000}"/>
  <mergeCells count="2">
    <mergeCell ref="A2:R2"/>
    <mergeCell ref="A1:R1"/>
  </mergeCells>
  <phoneticPr fontId="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18" width="11" customWidth="1"/>
  </cols>
  <sheetData>
    <row r="1" spans="1:18" ht="28.05" customHeight="1" x14ac:dyDescent="0.4">
      <c r="A1" s="23" t="s">
        <v>231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4.049999999999997" customHeight="1" x14ac:dyDescent="0.4">
      <c r="A2" s="26" t="s">
        <v>189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1.95" customHeight="1" x14ac:dyDescent="0.4">
      <c r="A3" s="19" t="s">
        <v>232</v>
      </c>
      <c r="B3" s="19" t="s">
        <v>191</v>
      </c>
      <c r="C3" s="19" t="s">
        <v>192</v>
      </c>
      <c r="D3" s="19" t="s">
        <v>193</v>
      </c>
      <c r="E3" s="19" t="s">
        <v>194</v>
      </c>
      <c r="F3" s="19" t="s">
        <v>195</v>
      </c>
      <c r="G3" s="19" t="s">
        <v>196</v>
      </c>
      <c r="H3" s="19" t="s">
        <v>197</v>
      </c>
      <c r="I3" s="19" t="s">
        <v>198</v>
      </c>
      <c r="J3" s="19" t="s">
        <v>199</v>
      </c>
      <c r="K3" s="19" t="s">
        <v>200</v>
      </c>
      <c r="L3" s="19" t="s">
        <v>201</v>
      </c>
      <c r="M3" s="19" t="s">
        <v>202</v>
      </c>
      <c r="N3" s="19" t="s">
        <v>203</v>
      </c>
      <c r="O3" s="19" t="s">
        <v>204</v>
      </c>
      <c r="P3" s="19" t="s">
        <v>205</v>
      </c>
      <c r="Q3" s="19" t="s">
        <v>206</v>
      </c>
      <c r="R3" s="19" t="s">
        <v>207</v>
      </c>
    </row>
    <row r="4" spans="1:18" x14ac:dyDescent="0.4">
      <c r="A4" s="3" t="s">
        <v>80</v>
      </c>
      <c r="B4" s="4">
        <v>8.3449240000000001E-3</v>
      </c>
      <c r="C4" s="4">
        <v>9.3984959999999992E-3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1.5238095E-2</v>
      </c>
      <c r="J4" s="4">
        <v>0</v>
      </c>
      <c r="K4" s="4">
        <v>5.5379749999999997E-3</v>
      </c>
      <c r="L4" s="4">
        <v>0</v>
      </c>
      <c r="M4" s="4">
        <v>6.0060060000000004E-3</v>
      </c>
      <c r="N4" s="4">
        <v>0</v>
      </c>
      <c r="O4" s="4">
        <v>0</v>
      </c>
      <c r="P4" s="4">
        <v>0</v>
      </c>
      <c r="Q4" s="4">
        <v>2.865330000000001E-3</v>
      </c>
      <c r="R4" s="4">
        <f t="shared" ref="R4:R35" si="0">AVERAGE(B4:Q4)</f>
        <v>2.9619266250000002E-3</v>
      </c>
    </row>
    <row r="5" spans="1:18" x14ac:dyDescent="0.4">
      <c r="A5" s="7" t="s">
        <v>103</v>
      </c>
      <c r="B5" s="8">
        <v>2.7352805000000001E-2</v>
      </c>
      <c r="C5" s="8">
        <v>1.0025063000000001E-2</v>
      </c>
      <c r="D5" s="8">
        <v>0.12528578000000001</v>
      </c>
      <c r="E5" s="8">
        <v>0.14777131800000001</v>
      </c>
      <c r="F5" s="8">
        <v>3.1654676E-2</v>
      </c>
      <c r="G5" s="8">
        <v>8.0775440000000007E-3</v>
      </c>
      <c r="H5" s="8">
        <v>4.1767067999999997E-2</v>
      </c>
      <c r="I5" s="8">
        <v>3.6190475999999999E-2</v>
      </c>
      <c r="J5" s="8">
        <v>0.16103896100000001</v>
      </c>
      <c r="K5" s="8">
        <v>8.2278481000000001E-2</v>
      </c>
      <c r="L5" s="8">
        <v>0.10369774900000001</v>
      </c>
      <c r="M5" s="8">
        <v>9.6096096000000006E-2</v>
      </c>
      <c r="N5" s="8">
        <v>0.13360739999999999</v>
      </c>
      <c r="O5" s="8">
        <v>5.4708519999999997E-2</v>
      </c>
      <c r="P5" s="8">
        <v>6.9767441999999999E-2</v>
      </c>
      <c r="Q5" s="8">
        <v>0.11532951299999999</v>
      </c>
      <c r="R5" s="8">
        <f t="shared" si="0"/>
        <v>7.7790555750000004E-2</v>
      </c>
    </row>
    <row r="6" spans="1:18" x14ac:dyDescent="0.4">
      <c r="A6" s="3" t="s">
        <v>122</v>
      </c>
      <c r="B6" s="4">
        <v>2.7816411999999999E-2</v>
      </c>
      <c r="C6" s="4">
        <v>1.0651628999999999E-2</v>
      </c>
      <c r="D6" s="4">
        <v>9.1449470000000005E-3</v>
      </c>
      <c r="E6" s="4">
        <v>5.8139530000000002E-3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1.607717E-3</v>
      </c>
      <c r="M6" s="4">
        <v>0</v>
      </c>
      <c r="N6" s="4">
        <v>3.0832479999999989E-3</v>
      </c>
      <c r="O6" s="4">
        <v>6.2780270000000003E-3</v>
      </c>
      <c r="P6" s="4">
        <v>1.3953488E-2</v>
      </c>
      <c r="Q6" s="4">
        <v>4.2979940000000003E-3</v>
      </c>
      <c r="R6" s="4">
        <f t="shared" si="0"/>
        <v>5.1654634374999992E-3</v>
      </c>
    </row>
    <row r="7" spans="1:18" x14ac:dyDescent="0.4">
      <c r="A7" s="7" t="s">
        <v>114</v>
      </c>
      <c r="B7" s="8">
        <v>2.6425590999999998E-2</v>
      </c>
      <c r="C7" s="8">
        <v>0</v>
      </c>
      <c r="D7" s="8">
        <v>5.9442160000000004E-3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3.5658914999999999E-2</v>
      </c>
      <c r="Q7" s="8">
        <v>0</v>
      </c>
      <c r="R7" s="8">
        <f t="shared" si="0"/>
        <v>4.251795125E-3</v>
      </c>
    </row>
    <row r="8" spans="1:18" x14ac:dyDescent="0.4">
      <c r="A8" s="3" t="s">
        <v>150</v>
      </c>
      <c r="B8" s="4">
        <v>1.3908205999999999E-2</v>
      </c>
      <c r="C8" s="4">
        <v>0</v>
      </c>
      <c r="D8" s="4">
        <v>0</v>
      </c>
      <c r="E8" s="4">
        <v>0</v>
      </c>
      <c r="F8" s="4">
        <v>7.1942450000000002E-3</v>
      </c>
      <c r="G8" s="4">
        <v>0</v>
      </c>
      <c r="H8" s="4">
        <v>0</v>
      </c>
      <c r="I8" s="4">
        <v>0</v>
      </c>
      <c r="J8" s="4">
        <v>0</v>
      </c>
      <c r="K8" s="4">
        <v>7.120253E-3</v>
      </c>
      <c r="L8" s="4">
        <v>1.9292605000000001E-2</v>
      </c>
      <c r="M8" s="4">
        <v>0</v>
      </c>
      <c r="N8" s="4">
        <v>0</v>
      </c>
      <c r="O8" s="4">
        <v>0</v>
      </c>
      <c r="P8" s="4">
        <v>2.3255814E-2</v>
      </c>
      <c r="Q8" s="4">
        <v>6.446991E-3</v>
      </c>
      <c r="R8" s="4">
        <f t="shared" si="0"/>
        <v>4.8261321250000003E-3</v>
      </c>
    </row>
    <row r="9" spans="1:18" x14ac:dyDescent="0.4">
      <c r="A9" s="7" t="s">
        <v>99</v>
      </c>
      <c r="B9" s="8">
        <v>0</v>
      </c>
      <c r="C9" s="8">
        <v>0</v>
      </c>
      <c r="D9" s="8">
        <v>3.657979E-3</v>
      </c>
      <c r="E9" s="8">
        <v>1.3565891E-2</v>
      </c>
      <c r="F9" s="8">
        <v>2.0863309E-2</v>
      </c>
      <c r="G9" s="8">
        <v>5.9773829000000001E-2</v>
      </c>
      <c r="H9" s="8">
        <v>0</v>
      </c>
      <c r="I9" s="8">
        <v>0</v>
      </c>
      <c r="J9" s="8">
        <v>4.5454550000000003E-3</v>
      </c>
      <c r="K9" s="8">
        <v>2.7689873E-2</v>
      </c>
      <c r="L9" s="8">
        <v>0</v>
      </c>
      <c r="M9" s="8">
        <v>4.5045044999999999E-2</v>
      </c>
      <c r="N9" s="8">
        <v>3.6998971999999998E-2</v>
      </c>
      <c r="O9" s="8">
        <v>1.0762331999999999E-2</v>
      </c>
      <c r="P9" s="8">
        <v>2.3255814E-2</v>
      </c>
      <c r="Q9" s="8">
        <v>4.2979940000000003E-3</v>
      </c>
      <c r="R9" s="8">
        <f t="shared" si="0"/>
        <v>1.56535308125E-2</v>
      </c>
    </row>
    <row r="10" spans="1:18" x14ac:dyDescent="0.4">
      <c r="A10" s="3" t="s">
        <v>108</v>
      </c>
      <c r="B10" s="4">
        <v>7.8813170000000005E-3</v>
      </c>
      <c r="C10" s="4">
        <v>0</v>
      </c>
      <c r="D10" s="4">
        <v>0</v>
      </c>
      <c r="E10" s="4">
        <v>7.7519380000000008E-3</v>
      </c>
      <c r="F10" s="4">
        <v>1.0071942E-2</v>
      </c>
      <c r="G10" s="4">
        <v>8.0775440000000007E-3</v>
      </c>
      <c r="H10" s="4">
        <v>2.7309237E-2</v>
      </c>
      <c r="I10" s="4">
        <v>0</v>
      </c>
      <c r="J10" s="4">
        <v>1.1038961E-2</v>
      </c>
      <c r="K10" s="4">
        <v>7.120253E-3</v>
      </c>
      <c r="L10" s="4">
        <v>1.3665595000000001E-2</v>
      </c>
      <c r="M10" s="4">
        <v>2.1021021000000001E-2</v>
      </c>
      <c r="N10" s="4">
        <v>1.8499485999999999E-2</v>
      </c>
      <c r="O10" s="4">
        <v>4.4843050000000001E-3</v>
      </c>
      <c r="P10" s="4">
        <v>0</v>
      </c>
      <c r="Q10" s="4">
        <v>1.5042979999999999E-2</v>
      </c>
      <c r="R10" s="4">
        <f t="shared" si="0"/>
        <v>9.497786187500001E-3</v>
      </c>
    </row>
    <row r="11" spans="1:18" x14ac:dyDescent="0.4">
      <c r="A11" s="7" t="s">
        <v>147</v>
      </c>
      <c r="B11" s="8">
        <v>0</v>
      </c>
      <c r="C11" s="8">
        <v>1.1904761999999999E-2</v>
      </c>
      <c r="D11" s="8">
        <v>1.0059442E-2</v>
      </c>
      <c r="E11" s="8">
        <v>2.9069769999999998E-3</v>
      </c>
      <c r="F11" s="8">
        <v>0</v>
      </c>
      <c r="G11" s="8">
        <v>0</v>
      </c>
      <c r="H11" s="8">
        <v>8.0321290000000007E-3</v>
      </c>
      <c r="I11" s="8">
        <v>1.3333332999999999E-2</v>
      </c>
      <c r="J11" s="8">
        <v>1.3636364E-2</v>
      </c>
      <c r="K11" s="8">
        <v>7.9113919999999997E-3</v>
      </c>
      <c r="L11" s="8">
        <v>6.430868000000001E-3</v>
      </c>
      <c r="M11" s="8">
        <v>9.0090090000000001E-3</v>
      </c>
      <c r="N11" s="8">
        <v>0</v>
      </c>
      <c r="O11" s="8">
        <v>0</v>
      </c>
      <c r="P11" s="8">
        <v>6.2015500000000001E-3</v>
      </c>
      <c r="Q11" s="8">
        <v>3.5816620000000011E-3</v>
      </c>
      <c r="R11" s="8">
        <f t="shared" si="0"/>
        <v>5.812968E-3</v>
      </c>
    </row>
    <row r="12" spans="1:18" x14ac:dyDescent="0.4">
      <c r="A12" s="3" t="s">
        <v>117</v>
      </c>
      <c r="B12" s="4">
        <v>2.9670839000000001E-2</v>
      </c>
      <c r="C12" s="4">
        <v>0</v>
      </c>
      <c r="D12" s="4">
        <v>8.2304530000000004E-3</v>
      </c>
      <c r="E12" s="4">
        <v>0</v>
      </c>
      <c r="F12" s="4">
        <v>0</v>
      </c>
      <c r="G12" s="4">
        <v>0</v>
      </c>
      <c r="H12" s="4">
        <v>0</v>
      </c>
      <c r="I12" s="4">
        <v>1.7142857000000001E-2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f t="shared" si="0"/>
        <v>3.4402593125E-3</v>
      </c>
    </row>
    <row r="13" spans="1:18" x14ac:dyDescent="0.4">
      <c r="A13" s="7" t="s">
        <v>149</v>
      </c>
      <c r="B13" s="8">
        <v>8.8085300000000002E-3</v>
      </c>
      <c r="C13" s="8">
        <v>1.1904761999999999E-2</v>
      </c>
      <c r="D13" s="8">
        <v>3.657979E-3</v>
      </c>
      <c r="E13" s="8">
        <v>0</v>
      </c>
      <c r="F13" s="8">
        <v>7.1942450000000002E-3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5.0050049999999999E-3</v>
      </c>
      <c r="N13" s="8">
        <v>7.1942450000000002E-3</v>
      </c>
      <c r="O13" s="8">
        <v>1.1659193E-2</v>
      </c>
      <c r="P13" s="8">
        <v>0</v>
      </c>
      <c r="Q13" s="8">
        <v>0</v>
      </c>
      <c r="R13" s="8">
        <f t="shared" si="0"/>
        <v>3.4639974375000001E-3</v>
      </c>
    </row>
    <row r="14" spans="1:18" x14ac:dyDescent="0.4">
      <c r="A14" s="3" t="s">
        <v>130</v>
      </c>
      <c r="B14" s="4">
        <v>6.9541029999999997E-3</v>
      </c>
      <c r="C14" s="4">
        <v>9.3984959999999992E-3</v>
      </c>
      <c r="D14" s="4">
        <v>4.1152259999999996E-3</v>
      </c>
      <c r="E14" s="4">
        <v>9.2054259999999992E-3</v>
      </c>
      <c r="F14" s="4">
        <v>9.3525180000000006E-3</v>
      </c>
      <c r="G14" s="4">
        <v>0</v>
      </c>
      <c r="H14" s="4">
        <v>0</v>
      </c>
      <c r="I14" s="4">
        <v>0</v>
      </c>
      <c r="J14" s="4">
        <v>0</v>
      </c>
      <c r="K14" s="4">
        <v>1.1075949E-2</v>
      </c>
      <c r="L14" s="4">
        <v>0</v>
      </c>
      <c r="M14" s="4">
        <v>0</v>
      </c>
      <c r="N14" s="4">
        <v>1.3360739999999999E-2</v>
      </c>
      <c r="O14" s="4">
        <v>3.4080717000000003E-2</v>
      </c>
      <c r="P14" s="4">
        <v>0</v>
      </c>
      <c r="Q14" s="4">
        <v>9.3123210000000001E-3</v>
      </c>
      <c r="R14" s="4">
        <f t="shared" si="0"/>
        <v>6.6784685000000005E-3</v>
      </c>
    </row>
    <row r="15" spans="1:18" x14ac:dyDescent="0.4">
      <c r="A15" s="7" t="s">
        <v>137</v>
      </c>
      <c r="B15" s="8">
        <v>1.0662958E-2</v>
      </c>
      <c r="C15" s="8">
        <v>1.8796991999999998E-2</v>
      </c>
      <c r="D15" s="8">
        <v>1.3260174E-2</v>
      </c>
      <c r="E15" s="8">
        <v>9.2054259999999992E-3</v>
      </c>
      <c r="F15" s="8">
        <v>4.5323741000000001E-2</v>
      </c>
      <c r="G15" s="8">
        <v>0</v>
      </c>
      <c r="H15" s="8">
        <v>0</v>
      </c>
      <c r="I15" s="8">
        <v>0</v>
      </c>
      <c r="J15" s="8">
        <v>8.441558E-3</v>
      </c>
      <c r="K15" s="8">
        <v>2.6898734000000001E-2</v>
      </c>
      <c r="L15" s="8">
        <v>0</v>
      </c>
      <c r="M15" s="8">
        <v>1.3013013E-2</v>
      </c>
      <c r="N15" s="8">
        <v>0</v>
      </c>
      <c r="O15" s="8">
        <v>0</v>
      </c>
      <c r="P15" s="8">
        <v>0</v>
      </c>
      <c r="Q15" s="8">
        <v>0</v>
      </c>
      <c r="R15" s="8">
        <f t="shared" si="0"/>
        <v>9.10016225E-3</v>
      </c>
    </row>
    <row r="16" spans="1:18" x14ac:dyDescent="0.4">
      <c r="A16" s="3" t="s">
        <v>125</v>
      </c>
      <c r="B16" s="4">
        <v>5.5632820000000001E-3</v>
      </c>
      <c r="C16" s="4">
        <v>4.3859650000000003E-3</v>
      </c>
      <c r="D16" s="4">
        <v>1.0973937E-2</v>
      </c>
      <c r="E16" s="4">
        <v>0</v>
      </c>
      <c r="F16" s="4">
        <v>0</v>
      </c>
      <c r="G16" s="4">
        <v>0</v>
      </c>
      <c r="H16" s="4">
        <v>0</v>
      </c>
      <c r="I16" s="4">
        <v>1.5238095E-2</v>
      </c>
      <c r="J16" s="4">
        <v>0</v>
      </c>
      <c r="K16" s="4">
        <v>1.5822784999999999E-2</v>
      </c>
      <c r="L16" s="4">
        <v>0</v>
      </c>
      <c r="M16" s="4">
        <v>0</v>
      </c>
      <c r="N16" s="4">
        <v>1.5416238000000001E-2</v>
      </c>
      <c r="O16" s="4">
        <v>0</v>
      </c>
      <c r="P16" s="4">
        <v>0</v>
      </c>
      <c r="Q16" s="4">
        <v>5.0143269999999998E-3</v>
      </c>
      <c r="R16" s="4">
        <f t="shared" si="0"/>
        <v>4.5259143125000005E-3</v>
      </c>
    </row>
    <row r="17" spans="1:18" x14ac:dyDescent="0.4">
      <c r="A17" s="7" t="s">
        <v>134</v>
      </c>
      <c r="B17" s="8">
        <v>2.4571164E-2</v>
      </c>
      <c r="C17" s="8">
        <v>4.9498747000000003E-2</v>
      </c>
      <c r="D17" s="8">
        <v>1.8747142000000001E-2</v>
      </c>
      <c r="E17" s="8">
        <v>1.7926357E-2</v>
      </c>
      <c r="F17" s="8">
        <v>2.2302157999999999E-2</v>
      </c>
      <c r="G17" s="8">
        <v>2.4232633E-2</v>
      </c>
      <c r="H17" s="8">
        <v>4.1767067999999997E-2</v>
      </c>
      <c r="I17" s="8">
        <v>2.0952380999999999E-2</v>
      </c>
      <c r="J17" s="8">
        <v>0</v>
      </c>
      <c r="K17" s="8">
        <v>2.2943037999999999E-2</v>
      </c>
      <c r="L17" s="8">
        <v>2.0900321999999999E-2</v>
      </c>
      <c r="M17" s="8">
        <v>4.8048048000000003E-2</v>
      </c>
      <c r="N17" s="8">
        <v>1.9527235E-2</v>
      </c>
      <c r="O17" s="8">
        <v>2.6905829999999999E-2</v>
      </c>
      <c r="P17" s="8">
        <v>2.9457364E-2</v>
      </c>
      <c r="Q17" s="8">
        <v>2.5787965999999999E-2</v>
      </c>
      <c r="R17" s="8">
        <f t="shared" si="0"/>
        <v>2.5847965812499998E-2</v>
      </c>
    </row>
    <row r="18" spans="1:18" x14ac:dyDescent="0.4">
      <c r="A18" s="3" t="s">
        <v>131</v>
      </c>
      <c r="B18" s="4">
        <v>0</v>
      </c>
      <c r="C18" s="4">
        <v>0</v>
      </c>
      <c r="D18" s="4">
        <v>0</v>
      </c>
      <c r="E18" s="4">
        <v>0</v>
      </c>
      <c r="F18" s="4">
        <v>7.1942450000000002E-3</v>
      </c>
      <c r="G18" s="4">
        <v>0</v>
      </c>
      <c r="H18" s="4">
        <v>1.5261044E-2</v>
      </c>
      <c r="I18" s="4">
        <v>0</v>
      </c>
      <c r="J18" s="4">
        <v>0</v>
      </c>
      <c r="K18" s="4">
        <v>6.3291140000000003E-3</v>
      </c>
      <c r="L18" s="4">
        <v>0</v>
      </c>
      <c r="M18" s="4">
        <v>0</v>
      </c>
      <c r="N18" s="4">
        <v>5.1387459999999996E-3</v>
      </c>
      <c r="O18" s="4">
        <v>0</v>
      </c>
      <c r="P18" s="4">
        <v>0</v>
      </c>
      <c r="Q18" s="4">
        <v>0</v>
      </c>
      <c r="R18" s="4">
        <f t="shared" si="0"/>
        <v>2.1201968125E-3</v>
      </c>
    </row>
    <row r="19" spans="1:18" x14ac:dyDescent="0.4">
      <c r="A19" s="7" t="s">
        <v>148</v>
      </c>
      <c r="B19" s="8">
        <v>0</v>
      </c>
      <c r="C19" s="8">
        <v>5.0125309999999998E-3</v>
      </c>
      <c r="D19" s="8">
        <v>2.286237E-3</v>
      </c>
      <c r="E19" s="8">
        <v>1.937984E-3</v>
      </c>
      <c r="F19" s="8">
        <v>1.1510790999999999E-2</v>
      </c>
      <c r="G19" s="8">
        <v>0</v>
      </c>
      <c r="H19" s="8">
        <v>4.0160639999999997E-3</v>
      </c>
      <c r="I19" s="8">
        <v>0</v>
      </c>
      <c r="J19" s="8">
        <v>2.5974029999999999E-3</v>
      </c>
      <c r="K19" s="8">
        <v>0</v>
      </c>
      <c r="L19" s="8">
        <v>0</v>
      </c>
      <c r="M19" s="8">
        <v>4.0040040000000002E-3</v>
      </c>
      <c r="N19" s="8">
        <v>0</v>
      </c>
      <c r="O19" s="8">
        <v>0</v>
      </c>
      <c r="P19" s="8">
        <v>0</v>
      </c>
      <c r="Q19" s="8">
        <v>2.1489970000000001E-3</v>
      </c>
      <c r="R19" s="8">
        <f t="shared" si="0"/>
        <v>2.0946256874999998E-3</v>
      </c>
    </row>
    <row r="20" spans="1:18" x14ac:dyDescent="0.4">
      <c r="A20" s="3" t="s">
        <v>104</v>
      </c>
      <c r="B20" s="4">
        <v>9.2721369999999997E-3</v>
      </c>
      <c r="C20" s="4">
        <v>6.0150375999999992E-2</v>
      </c>
      <c r="D20" s="4">
        <v>4.5267490000000001E-2</v>
      </c>
      <c r="E20" s="4">
        <v>7.0736434000000001E-2</v>
      </c>
      <c r="F20" s="4">
        <v>6.0431655000000008E-2</v>
      </c>
      <c r="G20" s="4">
        <v>0</v>
      </c>
      <c r="H20" s="4">
        <v>1.7670683E-2</v>
      </c>
      <c r="I20" s="4">
        <v>3.8095237999999997E-2</v>
      </c>
      <c r="J20" s="4">
        <v>7.1428570999999996E-2</v>
      </c>
      <c r="K20" s="4">
        <v>1.3449367E-2</v>
      </c>
      <c r="L20" s="4">
        <v>3.2154341000000003E-2</v>
      </c>
      <c r="M20" s="4">
        <v>4.6046046E-2</v>
      </c>
      <c r="N20" s="4">
        <v>7.2970195000000002E-2</v>
      </c>
      <c r="O20" s="4">
        <v>1.2556054000000001E-2</v>
      </c>
      <c r="P20" s="4">
        <v>0.113178295</v>
      </c>
      <c r="Q20" s="4">
        <v>2.7936962999999999E-2</v>
      </c>
      <c r="R20" s="4">
        <f t="shared" si="0"/>
        <v>4.3208990312500001E-2</v>
      </c>
    </row>
    <row r="21" spans="1:18" x14ac:dyDescent="0.4">
      <c r="A21" s="7" t="s">
        <v>142</v>
      </c>
      <c r="B21" s="8">
        <v>0</v>
      </c>
      <c r="C21" s="8">
        <v>4.3859650000000003E-3</v>
      </c>
      <c r="D21" s="8">
        <v>6.4014629999999996E-3</v>
      </c>
      <c r="E21" s="8">
        <v>7.2674419999999998E-3</v>
      </c>
      <c r="F21" s="8">
        <v>0</v>
      </c>
      <c r="G21" s="8">
        <v>0</v>
      </c>
      <c r="H21" s="8">
        <v>0</v>
      </c>
      <c r="I21" s="8">
        <v>0</v>
      </c>
      <c r="J21" s="8">
        <v>3.2467529999999998E-3</v>
      </c>
      <c r="K21" s="8">
        <v>7.120253E-3</v>
      </c>
      <c r="L21" s="8">
        <v>0</v>
      </c>
      <c r="M21" s="8">
        <v>1.8018018E-2</v>
      </c>
      <c r="N21" s="8">
        <v>0</v>
      </c>
      <c r="O21" s="8">
        <v>2.6905829999999999E-3</v>
      </c>
      <c r="P21" s="8">
        <v>1.0852713E-2</v>
      </c>
      <c r="Q21" s="8">
        <v>0</v>
      </c>
      <c r="R21" s="8">
        <f t="shared" si="0"/>
        <v>3.7489493749999995E-3</v>
      </c>
    </row>
    <row r="22" spans="1:18" x14ac:dyDescent="0.4">
      <c r="A22" s="3" t="s">
        <v>100</v>
      </c>
      <c r="B22" s="4">
        <v>3.7088548999999998E-2</v>
      </c>
      <c r="C22" s="4">
        <v>2.5689223000000001E-2</v>
      </c>
      <c r="D22" s="4">
        <v>5.0754458000000002E-2</v>
      </c>
      <c r="E22" s="4">
        <v>2.6162791000000001E-2</v>
      </c>
      <c r="F22" s="4">
        <v>1.5107914E-2</v>
      </c>
      <c r="G22" s="4">
        <v>0.25848142200000002</v>
      </c>
      <c r="H22" s="4">
        <v>4.3373493999999999E-2</v>
      </c>
      <c r="I22" s="4">
        <v>0.205714286</v>
      </c>
      <c r="J22" s="4">
        <v>6.2337662000000002E-2</v>
      </c>
      <c r="K22" s="4">
        <v>2.4525315999999998E-2</v>
      </c>
      <c r="L22" s="4">
        <v>3.1350481999999999E-2</v>
      </c>
      <c r="M22" s="4">
        <v>2.5025024999999999E-2</v>
      </c>
      <c r="N22" s="4">
        <v>3.8026720999999999E-2</v>
      </c>
      <c r="O22" s="4">
        <v>3.9461883000000003E-2</v>
      </c>
      <c r="P22" s="4">
        <v>6.5116278999999999E-2</v>
      </c>
      <c r="Q22" s="4">
        <v>3.4383954000000001E-2</v>
      </c>
      <c r="R22" s="4">
        <f t="shared" si="0"/>
        <v>6.1412466187500007E-2</v>
      </c>
    </row>
    <row r="23" spans="1:18" x14ac:dyDescent="0.4">
      <c r="A23" s="7" t="s">
        <v>152</v>
      </c>
      <c r="B23" s="8">
        <v>1.7153453999999999E-2</v>
      </c>
      <c r="C23" s="8">
        <v>1.1904761999999999E-2</v>
      </c>
      <c r="D23" s="8">
        <v>1.6918152999999998E-2</v>
      </c>
      <c r="E23" s="8">
        <v>5.8139530000000002E-3</v>
      </c>
      <c r="F23" s="8">
        <v>1.294964E-2</v>
      </c>
      <c r="G23" s="8">
        <v>0</v>
      </c>
      <c r="H23" s="8">
        <v>1.9277108000000001E-2</v>
      </c>
      <c r="I23" s="8">
        <v>1.3333332999999999E-2</v>
      </c>
      <c r="J23" s="8">
        <v>1.7532467999999999E-2</v>
      </c>
      <c r="K23" s="8">
        <v>1.028481E-2</v>
      </c>
      <c r="L23" s="8">
        <v>3.0546624000000001E-2</v>
      </c>
      <c r="M23" s="8">
        <v>1.6016016000000001E-2</v>
      </c>
      <c r="N23" s="8">
        <v>2.7749229E-2</v>
      </c>
      <c r="O23" s="8">
        <v>0</v>
      </c>
      <c r="P23" s="8">
        <v>0</v>
      </c>
      <c r="Q23" s="8">
        <v>1.0744986E-2</v>
      </c>
      <c r="R23" s="8">
        <f t="shared" si="0"/>
        <v>1.3139033500000001E-2</v>
      </c>
    </row>
    <row r="24" spans="1:18" x14ac:dyDescent="0.4">
      <c r="A24" s="3" t="s">
        <v>121</v>
      </c>
      <c r="B24" s="4">
        <v>0</v>
      </c>
      <c r="C24" s="4">
        <v>8.7719300000000007E-3</v>
      </c>
      <c r="D24" s="4">
        <v>4.572474E-3</v>
      </c>
      <c r="E24" s="4">
        <v>7.2674419999999998E-3</v>
      </c>
      <c r="F24" s="4">
        <v>1.9424460000000001E-2</v>
      </c>
      <c r="G24" s="4">
        <v>0</v>
      </c>
      <c r="H24" s="4">
        <v>0</v>
      </c>
      <c r="I24" s="4">
        <v>0</v>
      </c>
      <c r="J24" s="4">
        <v>0</v>
      </c>
      <c r="K24" s="4">
        <v>7.120253E-3</v>
      </c>
      <c r="L24" s="4">
        <v>4.8231510000000003E-3</v>
      </c>
      <c r="M24" s="4">
        <v>7.0070069999999991E-3</v>
      </c>
      <c r="N24" s="4">
        <v>2.0554979999999998E-3</v>
      </c>
      <c r="O24" s="4">
        <v>0</v>
      </c>
      <c r="P24" s="4">
        <v>0</v>
      </c>
      <c r="Q24" s="4">
        <v>0</v>
      </c>
      <c r="R24" s="4">
        <f t="shared" si="0"/>
        <v>3.8151384374999998E-3</v>
      </c>
    </row>
    <row r="25" spans="1:18" x14ac:dyDescent="0.4">
      <c r="A25" s="7" t="s">
        <v>127</v>
      </c>
      <c r="B25" s="8">
        <v>5.5632820000000001E-3</v>
      </c>
      <c r="C25" s="8">
        <v>1.6917293E-2</v>
      </c>
      <c r="D25" s="8">
        <v>0</v>
      </c>
      <c r="E25" s="8">
        <v>1.2112403000000001E-2</v>
      </c>
      <c r="F25" s="8">
        <v>1.7985612000000002E-2</v>
      </c>
      <c r="G25" s="8">
        <v>8.0775440000000007E-3</v>
      </c>
      <c r="H25" s="8">
        <v>0</v>
      </c>
      <c r="I25" s="8">
        <v>0</v>
      </c>
      <c r="J25" s="8">
        <v>0</v>
      </c>
      <c r="K25" s="8">
        <v>7.9113919999999997E-3</v>
      </c>
      <c r="L25" s="8">
        <v>3.2154340000000001E-3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f t="shared" si="0"/>
        <v>4.4864349999999996E-3</v>
      </c>
    </row>
    <row r="26" spans="1:18" x14ac:dyDescent="0.4">
      <c r="A26" s="3" t="s">
        <v>110</v>
      </c>
      <c r="B26" s="4">
        <v>5.5632820000000001E-3</v>
      </c>
      <c r="C26" s="4">
        <v>2.6942356000000001E-2</v>
      </c>
      <c r="D26" s="4">
        <v>1.7832647E-2</v>
      </c>
      <c r="E26" s="4">
        <v>2.7131783E-2</v>
      </c>
      <c r="F26" s="4">
        <v>0</v>
      </c>
      <c r="G26" s="4">
        <v>0</v>
      </c>
      <c r="H26" s="4">
        <v>1.124498E-2</v>
      </c>
      <c r="I26" s="4">
        <v>9.5238100000000006E-3</v>
      </c>
      <c r="J26" s="4">
        <v>3.0519481000000001E-2</v>
      </c>
      <c r="K26" s="4">
        <v>1.8987342000000001E-2</v>
      </c>
      <c r="L26" s="4">
        <v>1.1254019000000001E-2</v>
      </c>
      <c r="M26" s="4">
        <v>0</v>
      </c>
      <c r="N26" s="4">
        <v>2.1582733999999999E-2</v>
      </c>
      <c r="O26" s="4">
        <v>1.5246637E-2</v>
      </c>
      <c r="P26" s="4">
        <v>0</v>
      </c>
      <c r="Q26" s="4">
        <v>0</v>
      </c>
      <c r="R26" s="4">
        <f t="shared" si="0"/>
        <v>1.22393169375E-2</v>
      </c>
    </row>
    <row r="27" spans="1:18" x14ac:dyDescent="0.4">
      <c r="A27" s="7" t="s">
        <v>88</v>
      </c>
      <c r="B27" s="8">
        <v>3.2452480000000001E-3</v>
      </c>
      <c r="C27" s="8">
        <v>1.2531328E-2</v>
      </c>
      <c r="D27" s="8">
        <v>2.4234110999999999E-2</v>
      </c>
      <c r="E27" s="8">
        <v>1.2596899E-2</v>
      </c>
      <c r="F27" s="8">
        <v>1.294964E-2</v>
      </c>
      <c r="G27" s="8">
        <v>0</v>
      </c>
      <c r="H27" s="8">
        <v>9.6385540000000006E-3</v>
      </c>
      <c r="I27" s="8">
        <v>1.3333332999999999E-2</v>
      </c>
      <c r="J27" s="8">
        <v>2.9870130000000002E-2</v>
      </c>
      <c r="K27" s="8">
        <v>1.2658228000000001E-2</v>
      </c>
      <c r="L27" s="8">
        <v>0</v>
      </c>
      <c r="M27" s="8">
        <v>3.3033033000000003E-2</v>
      </c>
      <c r="N27" s="8">
        <v>2.5693731000000001E-2</v>
      </c>
      <c r="O27" s="8">
        <v>2.2421525000000001E-2</v>
      </c>
      <c r="P27" s="8">
        <v>5.4263565999999999E-2</v>
      </c>
      <c r="Q27" s="8">
        <v>2.4355300999999999E-2</v>
      </c>
      <c r="R27" s="8">
        <f t="shared" si="0"/>
        <v>1.81765391875E-2</v>
      </c>
    </row>
    <row r="28" spans="1:18" x14ac:dyDescent="0.4">
      <c r="A28" s="3" t="s">
        <v>132</v>
      </c>
      <c r="B28" s="4">
        <v>5.2851181999999997E-2</v>
      </c>
      <c r="C28" s="4">
        <v>1.8170426E-2</v>
      </c>
      <c r="D28" s="4">
        <v>0</v>
      </c>
      <c r="E28" s="4">
        <v>0</v>
      </c>
      <c r="F28" s="4">
        <v>0</v>
      </c>
      <c r="G28" s="4">
        <v>1.9386107E-2</v>
      </c>
      <c r="H28" s="4">
        <v>8.5943775E-2</v>
      </c>
      <c r="I28" s="4">
        <v>1.9047618999999998E-2</v>
      </c>
      <c r="J28" s="4">
        <v>1.8181817999999999E-2</v>
      </c>
      <c r="K28" s="4">
        <v>0</v>
      </c>
      <c r="L28" s="4">
        <v>3.4565916000000002E-2</v>
      </c>
      <c r="M28" s="4">
        <v>0</v>
      </c>
      <c r="N28" s="4">
        <v>0</v>
      </c>
      <c r="O28" s="4">
        <v>0</v>
      </c>
      <c r="P28" s="4">
        <v>0</v>
      </c>
      <c r="Q28" s="4">
        <v>2.3638968E-2</v>
      </c>
      <c r="R28" s="4">
        <f t="shared" si="0"/>
        <v>1.6986613187499999E-2</v>
      </c>
    </row>
    <row r="29" spans="1:18" x14ac:dyDescent="0.4">
      <c r="A29" s="7" t="s">
        <v>120</v>
      </c>
      <c r="B29" s="8">
        <v>0</v>
      </c>
      <c r="C29" s="8">
        <v>0</v>
      </c>
      <c r="D29" s="8">
        <v>0</v>
      </c>
      <c r="E29" s="8">
        <v>1.1143409999999999E-2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1.8987339999999998E-2</v>
      </c>
      <c r="L29" s="8">
        <v>3.456592E-2</v>
      </c>
      <c r="M29" s="8">
        <v>1.501502E-2</v>
      </c>
      <c r="N29" s="8">
        <v>1.5416239999999999E-2</v>
      </c>
      <c r="O29" s="8">
        <v>0</v>
      </c>
      <c r="P29" s="8">
        <v>0</v>
      </c>
      <c r="Q29" s="8">
        <v>1.2893979999999999E-2</v>
      </c>
      <c r="R29" s="8">
        <f t="shared" si="0"/>
        <v>6.7513693749999999E-3</v>
      </c>
    </row>
    <row r="30" spans="1:18" x14ac:dyDescent="0.4">
      <c r="A30" s="3" t="s">
        <v>54</v>
      </c>
      <c r="B30" s="4">
        <v>3.2452480000000001E-3</v>
      </c>
      <c r="C30" s="4">
        <v>9.3984959999999992E-3</v>
      </c>
      <c r="D30" s="4">
        <v>2.0576132E-2</v>
      </c>
      <c r="E30" s="4">
        <v>8.2364340000000008E-3</v>
      </c>
      <c r="F30" s="4">
        <v>0</v>
      </c>
      <c r="G30" s="4">
        <v>0</v>
      </c>
      <c r="H30" s="4">
        <v>0</v>
      </c>
      <c r="I30" s="4">
        <v>7.6190479999999998E-3</v>
      </c>
      <c r="J30" s="4">
        <v>1.1038961E-2</v>
      </c>
      <c r="K30" s="4">
        <v>1.6613923999999999E-2</v>
      </c>
      <c r="L30" s="4">
        <v>0</v>
      </c>
      <c r="M30" s="4">
        <v>1.1011010999999999E-2</v>
      </c>
      <c r="N30" s="4">
        <v>0</v>
      </c>
      <c r="O30" s="4">
        <v>0</v>
      </c>
      <c r="P30" s="4">
        <v>3.5658914999999999E-2</v>
      </c>
      <c r="Q30" s="4">
        <v>7.8796560000000005E-3</v>
      </c>
      <c r="R30" s="4">
        <f t="shared" si="0"/>
        <v>8.2048640625000009E-3</v>
      </c>
    </row>
    <row r="31" spans="1:18" x14ac:dyDescent="0.4">
      <c r="A31" s="7" t="s">
        <v>141</v>
      </c>
      <c r="B31" s="8">
        <v>0</v>
      </c>
      <c r="C31" s="8">
        <v>0</v>
      </c>
      <c r="D31" s="8">
        <v>7.773205E-3</v>
      </c>
      <c r="E31" s="8">
        <v>1.4534884E-2</v>
      </c>
      <c r="F31" s="8">
        <v>1.294964E-2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3.7037037000000002E-2</v>
      </c>
      <c r="N31" s="8">
        <v>2.3638231999999999E-2</v>
      </c>
      <c r="O31" s="8">
        <v>0</v>
      </c>
      <c r="P31" s="8">
        <v>0</v>
      </c>
      <c r="Q31" s="8">
        <v>0</v>
      </c>
      <c r="R31" s="8">
        <f t="shared" si="0"/>
        <v>5.9958123750000003E-3</v>
      </c>
    </row>
    <row r="32" spans="1:18" x14ac:dyDescent="0.4">
      <c r="A32" s="3" t="s">
        <v>144</v>
      </c>
      <c r="B32" s="4">
        <v>0</v>
      </c>
      <c r="C32" s="4">
        <v>8.1453629999999992E-3</v>
      </c>
      <c r="D32" s="4">
        <v>0</v>
      </c>
      <c r="E32" s="4">
        <v>1.7926357E-2</v>
      </c>
      <c r="F32" s="4">
        <v>3.9568344999999998E-2</v>
      </c>
      <c r="G32" s="4">
        <v>2.907916E-2</v>
      </c>
      <c r="H32" s="4">
        <v>0</v>
      </c>
      <c r="I32" s="4">
        <v>0</v>
      </c>
      <c r="J32" s="4">
        <v>0</v>
      </c>
      <c r="K32" s="4">
        <v>0</v>
      </c>
      <c r="L32" s="4">
        <v>1.1254019000000001E-2</v>
      </c>
      <c r="M32" s="4">
        <v>1.4014014E-2</v>
      </c>
      <c r="N32" s="4">
        <v>1.6443988E-2</v>
      </c>
      <c r="O32" s="4">
        <v>2.2421525000000001E-2</v>
      </c>
      <c r="P32" s="4">
        <v>9.3023259999999997E-3</v>
      </c>
      <c r="Q32" s="4">
        <v>8.5959890000000001E-3</v>
      </c>
      <c r="R32" s="4">
        <f t="shared" si="0"/>
        <v>1.1046942875E-2</v>
      </c>
    </row>
    <row r="33" spans="1:18" x14ac:dyDescent="0.4">
      <c r="A33" s="7" t="s">
        <v>106</v>
      </c>
      <c r="B33" s="8">
        <v>7.7422346000000003E-2</v>
      </c>
      <c r="C33" s="8">
        <v>2.0050124999999999E-2</v>
      </c>
      <c r="D33" s="8">
        <v>8.2304530000000004E-3</v>
      </c>
      <c r="E33" s="8">
        <v>2.2286822000000001E-2</v>
      </c>
      <c r="F33" s="8">
        <v>2.0863309E-2</v>
      </c>
      <c r="G33" s="8">
        <v>7.7544426E-2</v>
      </c>
      <c r="H33" s="8">
        <v>7.7108434000000003E-2</v>
      </c>
      <c r="I33" s="8">
        <v>2.8571428999999999E-2</v>
      </c>
      <c r="J33" s="8">
        <v>9.7402600000000006E-3</v>
      </c>
      <c r="K33" s="8">
        <v>1.1867089000000001E-2</v>
      </c>
      <c r="L33" s="8">
        <v>7.5562700999999996E-2</v>
      </c>
      <c r="M33" s="8">
        <v>7.8078077999999995E-2</v>
      </c>
      <c r="N33" s="8">
        <v>3.6998971999999998E-2</v>
      </c>
      <c r="O33" s="8">
        <v>3.7668160999999999E-2</v>
      </c>
      <c r="P33" s="8">
        <v>1.7054264E-2</v>
      </c>
      <c r="Q33" s="8">
        <v>4.2979943E-2</v>
      </c>
      <c r="R33" s="8">
        <f t="shared" si="0"/>
        <v>4.012667575E-2</v>
      </c>
    </row>
    <row r="34" spans="1:18" x14ac:dyDescent="0.4">
      <c r="A34" s="3" t="s">
        <v>113</v>
      </c>
      <c r="B34" s="4">
        <v>1.483542E-2</v>
      </c>
      <c r="C34" s="4">
        <v>3.5087720000000003E-2</v>
      </c>
      <c r="D34" s="4">
        <v>1.326017E-2</v>
      </c>
      <c r="E34" s="4">
        <v>3.2945740000000001E-2</v>
      </c>
      <c r="F34" s="4">
        <v>3.3093530000000003E-2</v>
      </c>
      <c r="G34" s="4">
        <v>0</v>
      </c>
      <c r="H34" s="4">
        <v>0</v>
      </c>
      <c r="I34" s="4">
        <v>2.095238E-2</v>
      </c>
      <c r="J34" s="4">
        <v>2.0129870000000001E-2</v>
      </c>
      <c r="K34" s="4">
        <v>2.056962E-2</v>
      </c>
      <c r="L34" s="4">
        <v>1.527331E-2</v>
      </c>
      <c r="M34" s="4">
        <v>0</v>
      </c>
      <c r="N34" s="4">
        <v>0</v>
      </c>
      <c r="O34" s="4">
        <v>5.1121079999999999E-2</v>
      </c>
      <c r="P34" s="4">
        <v>0</v>
      </c>
      <c r="Q34" s="4">
        <v>1.9340969999999999E-2</v>
      </c>
      <c r="R34" s="4">
        <f t="shared" si="0"/>
        <v>1.7288113125000001E-2</v>
      </c>
    </row>
    <row r="35" spans="1:18" x14ac:dyDescent="0.4">
      <c r="A35" s="7" t="s">
        <v>105</v>
      </c>
      <c r="B35" s="8">
        <v>0</v>
      </c>
      <c r="C35" s="8">
        <v>0</v>
      </c>
      <c r="D35" s="8">
        <v>0</v>
      </c>
      <c r="E35" s="8">
        <v>1.453488E-3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2.373418E-3</v>
      </c>
      <c r="L35" s="8">
        <v>0</v>
      </c>
      <c r="M35" s="8">
        <v>0</v>
      </c>
      <c r="N35" s="8">
        <v>4.1109969999999999E-3</v>
      </c>
      <c r="O35" s="8">
        <v>0</v>
      </c>
      <c r="P35" s="8">
        <v>4.0310077999999999E-2</v>
      </c>
      <c r="Q35" s="8">
        <v>0</v>
      </c>
      <c r="R35" s="8">
        <f t="shared" si="0"/>
        <v>3.0154988124999997E-3</v>
      </c>
    </row>
    <row r="36" spans="1:18" x14ac:dyDescent="0.4">
      <c r="A36" s="3" t="s">
        <v>111</v>
      </c>
      <c r="B36" s="4">
        <v>1.2980992E-2</v>
      </c>
      <c r="C36" s="4">
        <v>1.566416E-2</v>
      </c>
      <c r="D36" s="4">
        <v>1.7832647E-2</v>
      </c>
      <c r="E36" s="4">
        <v>2.6162791000000001E-2</v>
      </c>
      <c r="F36" s="4">
        <v>5.2517986000000003E-2</v>
      </c>
      <c r="G36" s="4">
        <v>0</v>
      </c>
      <c r="H36" s="4">
        <v>7.2289159999999993E-3</v>
      </c>
      <c r="I36" s="4">
        <v>0</v>
      </c>
      <c r="J36" s="4">
        <v>0</v>
      </c>
      <c r="K36" s="4">
        <v>2.4525315999999998E-2</v>
      </c>
      <c r="L36" s="4">
        <v>2.0900321999999999E-2</v>
      </c>
      <c r="M36" s="4">
        <v>2.3023023E-2</v>
      </c>
      <c r="N36" s="4">
        <v>1.9527235E-2</v>
      </c>
      <c r="O36" s="4">
        <v>4.3049326999999998E-2</v>
      </c>
      <c r="P36" s="4">
        <v>2.6356589E-2</v>
      </c>
      <c r="Q36" s="4">
        <v>1.7191977000000001E-2</v>
      </c>
      <c r="R36" s="4">
        <f t="shared" ref="R36:R67" si="1">AVERAGE(B36:Q36)</f>
        <v>1.9185080062500002E-2</v>
      </c>
    </row>
    <row r="37" spans="1:18" x14ac:dyDescent="0.4">
      <c r="A37" s="7" t="s">
        <v>123</v>
      </c>
      <c r="B37" s="8">
        <v>2.0862308999999999E-2</v>
      </c>
      <c r="C37" s="8">
        <v>1.3784461E-2</v>
      </c>
      <c r="D37" s="8">
        <v>6.4014629999999996E-3</v>
      </c>
      <c r="E37" s="8">
        <v>7.2674419999999998E-3</v>
      </c>
      <c r="F37" s="8">
        <v>6.4748200000000001E-3</v>
      </c>
      <c r="G37" s="8">
        <v>0</v>
      </c>
      <c r="H37" s="8">
        <v>0</v>
      </c>
      <c r="I37" s="8">
        <v>0</v>
      </c>
      <c r="J37" s="8">
        <v>4.5454550000000003E-3</v>
      </c>
      <c r="K37" s="8">
        <v>7.120253E-3</v>
      </c>
      <c r="L37" s="8">
        <v>1.1254019000000001E-2</v>
      </c>
      <c r="M37" s="8">
        <v>6.0060060000000004E-3</v>
      </c>
      <c r="N37" s="8">
        <v>0</v>
      </c>
      <c r="O37" s="8">
        <v>0</v>
      </c>
      <c r="P37" s="8">
        <v>0</v>
      </c>
      <c r="Q37" s="8">
        <v>0</v>
      </c>
      <c r="R37" s="8">
        <f t="shared" si="1"/>
        <v>5.2322642499999994E-3</v>
      </c>
    </row>
    <row r="38" spans="1:18" x14ac:dyDescent="0.4">
      <c r="A38" s="3" t="s">
        <v>136</v>
      </c>
      <c r="B38" s="4">
        <v>2.5498380000000001E-2</v>
      </c>
      <c r="C38" s="4">
        <v>2.5689219999999999E-2</v>
      </c>
      <c r="D38" s="4">
        <v>1.463192E-2</v>
      </c>
      <c r="E38" s="4">
        <v>2.5193799999999999E-2</v>
      </c>
      <c r="F38" s="4">
        <v>2.1582730000000001E-2</v>
      </c>
      <c r="G38" s="4">
        <v>0</v>
      </c>
      <c r="H38" s="4">
        <v>0</v>
      </c>
      <c r="I38" s="4">
        <v>0</v>
      </c>
      <c r="J38" s="4">
        <v>0</v>
      </c>
      <c r="K38" s="4">
        <v>4.2721519999999999E-2</v>
      </c>
      <c r="L38" s="4">
        <v>3.054662E-2</v>
      </c>
      <c r="M38" s="4">
        <v>3.2032030000000003E-2</v>
      </c>
      <c r="N38" s="4">
        <v>0</v>
      </c>
      <c r="O38" s="4">
        <v>2.242152E-2</v>
      </c>
      <c r="P38" s="4">
        <v>3.4108529999999998E-2</v>
      </c>
      <c r="Q38" s="4">
        <v>2.6504300000000001E-2</v>
      </c>
      <c r="R38" s="4">
        <f t="shared" si="1"/>
        <v>1.8808160625000001E-2</v>
      </c>
    </row>
    <row r="39" spans="1:18" x14ac:dyDescent="0.4">
      <c r="A39" s="7" t="s">
        <v>115</v>
      </c>
      <c r="B39" s="8">
        <v>8.8085300000000002E-3</v>
      </c>
      <c r="C39" s="8">
        <v>8.1453629999999992E-3</v>
      </c>
      <c r="D39" s="8">
        <v>1.051669E-2</v>
      </c>
      <c r="E39" s="8">
        <v>9.2054259999999992E-3</v>
      </c>
      <c r="F39" s="8">
        <v>2.1582733999999999E-2</v>
      </c>
      <c r="G39" s="8">
        <v>4.5234248999999997E-2</v>
      </c>
      <c r="H39" s="8">
        <v>2.7309237E-2</v>
      </c>
      <c r="I39" s="8">
        <v>6.0952381E-2</v>
      </c>
      <c r="J39" s="8">
        <v>9.7402600000000006E-3</v>
      </c>
      <c r="K39" s="8">
        <v>7.9113919999999997E-3</v>
      </c>
      <c r="L39" s="8">
        <v>0</v>
      </c>
      <c r="M39" s="8">
        <v>0</v>
      </c>
      <c r="N39" s="8">
        <v>1.7471737000000001E-2</v>
      </c>
      <c r="O39" s="8">
        <v>2.2421525000000001E-2</v>
      </c>
      <c r="P39" s="8">
        <v>0</v>
      </c>
      <c r="Q39" s="8">
        <v>1.0744986E-2</v>
      </c>
      <c r="R39" s="8">
        <f t="shared" si="1"/>
        <v>1.6252781875E-2</v>
      </c>
    </row>
    <row r="40" spans="1:18" x14ac:dyDescent="0.4">
      <c r="A40" s="3" t="s">
        <v>145</v>
      </c>
      <c r="B40" s="4">
        <v>0</v>
      </c>
      <c r="C40" s="4">
        <v>0</v>
      </c>
      <c r="D40" s="4">
        <v>3.200732E-3</v>
      </c>
      <c r="E40" s="4">
        <v>0</v>
      </c>
      <c r="F40" s="4">
        <v>6.4748200000000001E-3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5.62701E-3</v>
      </c>
      <c r="M40" s="4">
        <v>0</v>
      </c>
      <c r="N40" s="4">
        <v>4.1109969999999999E-3</v>
      </c>
      <c r="O40" s="4">
        <v>0</v>
      </c>
      <c r="P40" s="4">
        <v>0</v>
      </c>
      <c r="Q40" s="4">
        <v>0</v>
      </c>
      <c r="R40" s="4">
        <f t="shared" si="1"/>
        <v>1.2133474375E-3</v>
      </c>
    </row>
    <row r="41" spans="1:18" x14ac:dyDescent="0.4">
      <c r="A41" s="7" t="s">
        <v>109</v>
      </c>
      <c r="B41" s="8">
        <v>6.6759390000000002E-2</v>
      </c>
      <c r="C41" s="8">
        <v>0.11654135</v>
      </c>
      <c r="D41" s="8">
        <v>4.1609510000000002E-2</v>
      </c>
      <c r="E41" s="8">
        <v>7.6065889999999997E-2</v>
      </c>
      <c r="F41" s="8">
        <v>5.6115110000000003E-2</v>
      </c>
      <c r="G41" s="8">
        <v>2.907916E-2</v>
      </c>
      <c r="H41" s="8">
        <v>0.24417670999999999</v>
      </c>
      <c r="I41" s="8">
        <v>0</v>
      </c>
      <c r="J41" s="8">
        <v>7.9220780000000005E-2</v>
      </c>
      <c r="K41" s="8">
        <v>3.1645569999999998E-2</v>
      </c>
      <c r="L41" s="8">
        <v>0.12942122</v>
      </c>
      <c r="M41" s="8">
        <v>3.403403E-2</v>
      </c>
      <c r="N41" s="8">
        <v>4.4193219999999998E-2</v>
      </c>
      <c r="O41" s="8">
        <v>0.14349776</v>
      </c>
      <c r="P41" s="8">
        <v>3.1007750000000001E-2</v>
      </c>
      <c r="Q41" s="8">
        <v>0.11031518999999999</v>
      </c>
      <c r="R41" s="8">
        <f t="shared" si="1"/>
        <v>7.7105164999999989E-2</v>
      </c>
    </row>
    <row r="42" spans="1:18" x14ac:dyDescent="0.4">
      <c r="A42" s="3" t="s">
        <v>23</v>
      </c>
      <c r="B42" s="4">
        <v>1.9007881300000001E-2</v>
      </c>
      <c r="C42" s="4">
        <v>3.1328320999999999E-3</v>
      </c>
      <c r="D42" s="4">
        <v>3.9780521300000003E-2</v>
      </c>
      <c r="E42" s="4">
        <v>9.6899219999999997E-4</v>
      </c>
      <c r="F42" s="4">
        <v>7.1942446E-3</v>
      </c>
      <c r="G42" s="4">
        <v>9.6930533000000006E-3</v>
      </c>
      <c r="H42" s="4">
        <v>0</v>
      </c>
      <c r="I42" s="4">
        <v>2.85714286E-2</v>
      </c>
      <c r="J42" s="4">
        <v>4.5454544999999997E-3</v>
      </c>
      <c r="K42" s="4">
        <v>2.9272151900000001E-2</v>
      </c>
      <c r="L42" s="4">
        <v>0</v>
      </c>
      <c r="M42" s="4">
        <v>0</v>
      </c>
      <c r="N42" s="4">
        <v>1.3360739999999999E-2</v>
      </c>
      <c r="O42" s="4">
        <v>0</v>
      </c>
      <c r="P42" s="4">
        <v>2.6356589100000001E-2</v>
      </c>
      <c r="Q42" s="4">
        <v>0</v>
      </c>
      <c r="R42" s="4">
        <f t="shared" si="1"/>
        <v>1.1367743056250003E-2</v>
      </c>
    </row>
    <row r="43" spans="1:18" x14ac:dyDescent="0.4">
      <c r="A43" s="7" t="s">
        <v>146</v>
      </c>
      <c r="B43" s="8">
        <v>4.3115437999999999E-2</v>
      </c>
      <c r="C43" s="8">
        <v>0</v>
      </c>
      <c r="D43" s="8">
        <v>5.9442160000000004E-3</v>
      </c>
      <c r="E43" s="8">
        <v>0</v>
      </c>
      <c r="F43" s="8">
        <v>1.4388489000000001E-2</v>
      </c>
      <c r="G43" s="8">
        <v>6.462036E-3</v>
      </c>
      <c r="H43" s="8">
        <v>4.3373493999999999E-2</v>
      </c>
      <c r="I43" s="8">
        <v>0</v>
      </c>
      <c r="J43" s="8">
        <v>0</v>
      </c>
      <c r="K43" s="8">
        <v>1.2658228000000001E-2</v>
      </c>
      <c r="L43" s="8">
        <v>1.6077169999999998E-2</v>
      </c>
      <c r="M43" s="8">
        <v>0</v>
      </c>
      <c r="N43" s="8">
        <v>0</v>
      </c>
      <c r="O43" s="8">
        <v>1.0762331999999999E-2</v>
      </c>
      <c r="P43" s="8">
        <v>1.0852713E-2</v>
      </c>
      <c r="Q43" s="8">
        <v>2.865330000000001E-3</v>
      </c>
      <c r="R43" s="8">
        <f t="shared" si="1"/>
        <v>1.0406215375E-2</v>
      </c>
    </row>
    <row r="44" spans="1:18" x14ac:dyDescent="0.4">
      <c r="A44" s="3" t="s">
        <v>116</v>
      </c>
      <c r="B44" s="4">
        <v>1.9471490000000001E-2</v>
      </c>
      <c r="C44" s="4">
        <v>1.9423559999999999E-2</v>
      </c>
      <c r="D44" s="4">
        <v>2.1033380000000001E-2</v>
      </c>
      <c r="E44" s="4">
        <v>3.7306199999999998E-2</v>
      </c>
      <c r="F44" s="4">
        <v>1.7985609999999999E-2</v>
      </c>
      <c r="G44" s="4">
        <v>0</v>
      </c>
      <c r="H44" s="4">
        <v>0</v>
      </c>
      <c r="I44" s="4">
        <v>0</v>
      </c>
      <c r="J44" s="4">
        <v>0</v>
      </c>
      <c r="K44" s="4">
        <v>2.2151899999999999E-2</v>
      </c>
      <c r="L44" s="4">
        <v>5.546624E-2</v>
      </c>
      <c r="M44" s="4">
        <v>3.703704E-2</v>
      </c>
      <c r="N44" s="4">
        <v>2.5693730000000001E-2</v>
      </c>
      <c r="O44" s="4">
        <v>0</v>
      </c>
      <c r="P44" s="4">
        <v>0</v>
      </c>
      <c r="Q44" s="4">
        <v>7.449857E-2</v>
      </c>
      <c r="R44" s="4">
        <f t="shared" si="1"/>
        <v>2.0629232500000001E-2</v>
      </c>
    </row>
    <row r="45" spans="1:18" x14ac:dyDescent="0.4">
      <c r="A45" s="7" t="s">
        <v>140</v>
      </c>
      <c r="B45" s="8">
        <v>1.529903E-2</v>
      </c>
      <c r="C45" s="8">
        <v>2.2556389999999999E-2</v>
      </c>
      <c r="D45" s="8">
        <v>4.3438499999999998E-2</v>
      </c>
      <c r="E45" s="8">
        <v>3.0038760000000001E-2</v>
      </c>
      <c r="F45" s="8">
        <v>4.0287770000000001E-2</v>
      </c>
      <c r="G45" s="8">
        <v>0</v>
      </c>
      <c r="H45" s="8">
        <v>0</v>
      </c>
      <c r="I45" s="8">
        <v>1.5238099999999999E-2</v>
      </c>
      <c r="J45" s="8">
        <v>1.0389610000000001E-2</v>
      </c>
      <c r="K45" s="8">
        <v>4.6677219999999998E-2</v>
      </c>
      <c r="L45" s="8">
        <v>2.4919609999999998E-2</v>
      </c>
      <c r="M45" s="8">
        <v>4.5045050000000003E-2</v>
      </c>
      <c r="N45" s="8">
        <v>3.9054470000000001E-2</v>
      </c>
      <c r="O45" s="8">
        <v>3.1390130000000002E-2</v>
      </c>
      <c r="P45" s="8">
        <v>2.6356589999999999E-2</v>
      </c>
      <c r="Q45" s="8">
        <v>3.2951290000000001E-2</v>
      </c>
      <c r="R45" s="8">
        <f t="shared" si="1"/>
        <v>2.6477657500000001E-2</v>
      </c>
    </row>
    <row r="46" spans="1:18" x14ac:dyDescent="0.4">
      <c r="A46" s="3" t="s">
        <v>129</v>
      </c>
      <c r="B46" s="4">
        <v>0</v>
      </c>
      <c r="C46" s="4">
        <v>0</v>
      </c>
      <c r="D46" s="4">
        <v>0</v>
      </c>
      <c r="E46" s="4">
        <v>3.8759689999999999E-3</v>
      </c>
      <c r="F46" s="4">
        <v>5.7553960000000003E-3</v>
      </c>
      <c r="G46" s="4">
        <v>0</v>
      </c>
      <c r="H46" s="4">
        <v>0</v>
      </c>
      <c r="I46" s="4">
        <v>0</v>
      </c>
      <c r="J46" s="4">
        <v>2.7272727E-2</v>
      </c>
      <c r="K46" s="4">
        <v>0</v>
      </c>
      <c r="L46" s="4">
        <v>1.2057877999999999E-2</v>
      </c>
      <c r="M46" s="4">
        <v>0</v>
      </c>
      <c r="N46" s="4">
        <v>6.1664949999999993E-3</v>
      </c>
      <c r="O46" s="4">
        <v>4.4843050000000001E-3</v>
      </c>
      <c r="P46" s="4">
        <v>0</v>
      </c>
      <c r="Q46" s="4">
        <v>0</v>
      </c>
      <c r="R46" s="4">
        <f t="shared" si="1"/>
        <v>3.7257981250000002E-3</v>
      </c>
    </row>
    <row r="47" spans="1:18" x14ac:dyDescent="0.4">
      <c r="A47" s="7" t="s">
        <v>133</v>
      </c>
      <c r="B47" s="8">
        <v>0</v>
      </c>
      <c r="C47" s="8">
        <v>0</v>
      </c>
      <c r="D47" s="8">
        <v>0</v>
      </c>
      <c r="E47" s="8">
        <v>2.9069769999999998E-3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3.9556959999999999E-3</v>
      </c>
      <c r="L47" s="8">
        <v>0</v>
      </c>
      <c r="M47" s="8">
        <v>0</v>
      </c>
      <c r="N47" s="8">
        <v>3.0832479999999989E-3</v>
      </c>
      <c r="O47" s="8">
        <v>6.2780270000000003E-3</v>
      </c>
      <c r="P47" s="8">
        <v>0</v>
      </c>
      <c r="Q47" s="8">
        <v>0</v>
      </c>
      <c r="R47" s="8">
        <f t="shared" si="1"/>
        <v>1.0139967499999999E-3</v>
      </c>
    </row>
    <row r="48" spans="1:18" x14ac:dyDescent="0.4">
      <c r="A48" s="3" t="s">
        <v>124</v>
      </c>
      <c r="B48" s="4">
        <v>2.7816410000000001E-3</v>
      </c>
      <c r="C48" s="4">
        <v>5.6390980000000004E-3</v>
      </c>
      <c r="D48" s="4">
        <v>0</v>
      </c>
      <c r="E48" s="4">
        <v>0</v>
      </c>
      <c r="F48" s="4">
        <v>1.6546762999999999E-2</v>
      </c>
      <c r="G48" s="4">
        <v>0</v>
      </c>
      <c r="H48" s="4">
        <v>0</v>
      </c>
      <c r="I48" s="4">
        <v>0</v>
      </c>
      <c r="J48" s="4">
        <v>0</v>
      </c>
      <c r="K48" s="4">
        <v>1.3449367E-2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f t="shared" si="1"/>
        <v>2.4010543125E-3</v>
      </c>
    </row>
    <row r="49" spans="1:18" x14ac:dyDescent="0.4">
      <c r="A49" s="7" t="s">
        <v>139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1.124498E-2</v>
      </c>
      <c r="I49" s="8">
        <v>0</v>
      </c>
      <c r="J49" s="8">
        <v>0</v>
      </c>
      <c r="K49" s="8">
        <v>0</v>
      </c>
      <c r="L49" s="8">
        <v>1.0450160999999999E-2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f t="shared" si="1"/>
        <v>1.3559463125000001E-3</v>
      </c>
    </row>
    <row r="50" spans="1:18" x14ac:dyDescent="0.4">
      <c r="A50" s="3" t="s">
        <v>151</v>
      </c>
      <c r="B50" s="4">
        <v>0</v>
      </c>
      <c r="C50" s="4">
        <v>0</v>
      </c>
      <c r="D50" s="4">
        <v>3.200732E-3</v>
      </c>
      <c r="E50" s="4">
        <v>2.9069769999999998E-3</v>
      </c>
      <c r="F50" s="4">
        <v>6.4748200000000001E-3</v>
      </c>
      <c r="G50" s="4">
        <v>0</v>
      </c>
      <c r="H50" s="4">
        <v>5.62249E-3</v>
      </c>
      <c r="I50" s="4">
        <v>0</v>
      </c>
      <c r="J50" s="4">
        <v>0</v>
      </c>
      <c r="K50" s="4">
        <v>9.4936710000000004E-3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f t="shared" si="1"/>
        <v>1.7311681249999999E-3</v>
      </c>
    </row>
    <row r="51" spans="1:18" x14ac:dyDescent="0.4">
      <c r="A51" s="7" t="s">
        <v>138</v>
      </c>
      <c r="B51" s="8">
        <v>6.4904960000000001E-3</v>
      </c>
      <c r="C51" s="8">
        <v>3.0075187999999999E-2</v>
      </c>
      <c r="D51" s="8">
        <v>2.7434842000000001E-2</v>
      </c>
      <c r="E51" s="8">
        <v>2.7616279000000001E-2</v>
      </c>
      <c r="F51" s="8">
        <v>1.8705036000000001E-2</v>
      </c>
      <c r="G51" s="8">
        <v>0</v>
      </c>
      <c r="H51" s="8">
        <v>0</v>
      </c>
      <c r="I51" s="8">
        <v>2.4761905000000001E-2</v>
      </c>
      <c r="J51" s="8">
        <v>9.7402600000000006E-3</v>
      </c>
      <c r="K51" s="8">
        <v>2.1360759E-2</v>
      </c>
      <c r="L51" s="8">
        <v>2.2508039000000001E-2</v>
      </c>
      <c r="M51" s="8">
        <v>0</v>
      </c>
      <c r="N51" s="8">
        <v>1.8499485999999999E-2</v>
      </c>
      <c r="O51" s="8">
        <v>2.5112108000000001E-2</v>
      </c>
      <c r="P51" s="8">
        <v>0</v>
      </c>
      <c r="Q51" s="8">
        <v>2.0057307E-2</v>
      </c>
      <c r="R51" s="8">
        <f t="shared" si="1"/>
        <v>1.5772606562500003E-2</v>
      </c>
    </row>
    <row r="52" spans="1:18" x14ac:dyDescent="0.4">
      <c r="A52" s="3" t="s">
        <v>107</v>
      </c>
      <c r="B52" s="4">
        <v>7.9276769999999996E-2</v>
      </c>
      <c r="C52" s="4">
        <v>6.3909770000000005E-2</v>
      </c>
      <c r="D52" s="4">
        <v>9.9222679999999994E-2</v>
      </c>
      <c r="E52" s="4">
        <v>7.4612399999999995E-2</v>
      </c>
      <c r="F52" s="4">
        <v>8.9928060000000004E-2</v>
      </c>
      <c r="G52" s="4">
        <v>2.5848139999999999E-2</v>
      </c>
      <c r="H52" s="4">
        <v>4.4176710000000001E-2</v>
      </c>
      <c r="I52" s="4">
        <v>4.7619050000000003E-2</v>
      </c>
      <c r="J52" s="4">
        <v>0.11948052000000001</v>
      </c>
      <c r="K52" s="4">
        <v>6.8037970000000003E-2</v>
      </c>
      <c r="L52" s="4">
        <v>5.385852E-2</v>
      </c>
      <c r="M52" s="4">
        <v>9.7097100000000006E-2</v>
      </c>
      <c r="N52" s="4">
        <v>0.10380267</v>
      </c>
      <c r="O52" s="4">
        <v>7.6233179999999998E-2</v>
      </c>
      <c r="P52" s="4">
        <v>4.3410850000000001E-2</v>
      </c>
      <c r="Q52" s="4">
        <v>9.455587E-2</v>
      </c>
      <c r="R52" s="4">
        <f t="shared" si="1"/>
        <v>7.3816891250000002E-2</v>
      </c>
    </row>
    <row r="53" spans="1:18" x14ac:dyDescent="0.4">
      <c r="A53" s="7" t="s">
        <v>102</v>
      </c>
      <c r="B53" s="8">
        <v>8.5303660000000003E-2</v>
      </c>
      <c r="C53" s="8">
        <v>9.5238100000000006E-2</v>
      </c>
      <c r="D53" s="8">
        <v>5.1668950000000012E-2</v>
      </c>
      <c r="E53" s="8">
        <v>3.4399220000000001E-2</v>
      </c>
      <c r="F53" s="8">
        <v>7.7697840000000004E-2</v>
      </c>
      <c r="G53" s="8">
        <v>0.18093699999999999</v>
      </c>
      <c r="H53" s="8">
        <v>0.10843373000000001</v>
      </c>
      <c r="I53" s="8">
        <v>0.11047619</v>
      </c>
      <c r="J53" s="8">
        <v>0.12922078000000001</v>
      </c>
      <c r="K53" s="8">
        <v>7.7531649999999994E-2</v>
      </c>
      <c r="L53" s="8">
        <v>8.3601289999999995E-2</v>
      </c>
      <c r="M53" s="8">
        <v>2.702703E-2</v>
      </c>
      <c r="N53" s="8">
        <v>3.4943469999999997E-2</v>
      </c>
      <c r="O53" s="8">
        <v>6.0089689999999987E-2</v>
      </c>
      <c r="P53" s="8">
        <v>2.1705430000000001E-2</v>
      </c>
      <c r="Q53" s="8">
        <v>7.449857E-2</v>
      </c>
      <c r="R53" s="8">
        <f t="shared" si="1"/>
        <v>7.8298287499999994E-2</v>
      </c>
    </row>
    <row r="54" spans="1:18" x14ac:dyDescent="0.4">
      <c r="A54" s="3" t="s">
        <v>135</v>
      </c>
      <c r="B54" s="4">
        <v>0</v>
      </c>
      <c r="C54" s="4">
        <v>1.1904761999999999E-2</v>
      </c>
      <c r="D54" s="4">
        <v>1.828989E-3</v>
      </c>
      <c r="E54" s="4">
        <v>8.72093E-3</v>
      </c>
      <c r="F54" s="4">
        <v>1.7266186999999999E-2</v>
      </c>
      <c r="G54" s="4">
        <v>0</v>
      </c>
      <c r="H54" s="4">
        <v>5.62249E-3</v>
      </c>
      <c r="I54" s="4">
        <v>3.8095239999999999E-3</v>
      </c>
      <c r="J54" s="4">
        <v>0</v>
      </c>
      <c r="K54" s="4">
        <v>1.6613923999999999E-2</v>
      </c>
      <c r="L54" s="4">
        <v>7.2347269999999998E-3</v>
      </c>
      <c r="M54" s="4">
        <v>1.3013013E-2</v>
      </c>
      <c r="N54" s="4">
        <v>0</v>
      </c>
      <c r="O54" s="4">
        <v>9.8654710000000007E-3</v>
      </c>
      <c r="P54" s="4">
        <v>0</v>
      </c>
      <c r="Q54" s="4">
        <v>0</v>
      </c>
      <c r="R54" s="4">
        <f t="shared" si="1"/>
        <v>5.9925010624999999E-3</v>
      </c>
    </row>
    <row r="55" spans="1:18" x14ac:dyDescent="0.4">
      <c r="A55" s="7" t="s">
        <v>118</v>
      </c>
      <c r="B55" s="8">
        <v>0</v>
      </c>
      <c r="C55" s="8">
        <v>2.3809523999999999E-2</v>
      </c>
      <c r="D55" s="8">
        <v>9.1449470000000005E-3</v>
      </c>
      <c r="E55" s="8">
        <v>2.0348837000000002E-2</v>
      </c>
      <c r="F55" s="8">
        <v>0</v>
      </c>
      <c r="G55" s="8">
        <v>0</v>
      </c>
      <c r="H55" s="8">
        <v>5.62249E-3</v>
      </c>
      <c r="I55" s="8">
        <v>0</v>
      </c>
      <c r="J55" s="8">
        <v>1.0389610000000001E-2</v>
      </c>
      <c r="K55" s="8">
        <v>1.3449367E-2</v>
      </c>
      <c r="L55" s="8">
        <v>1.9292605000000001E-2</v>
      </c>
      <c r="M55" s="8">
        <v>2.1021021000000001E-2</v>
      </c>
      <c r="N55" s="8">
        <v>2.8776978000000002E-2</v>
      </c>
      <c r="O55" s="8">
        <v>3.5874439000000001E-2</v>
      </c>
      <c r="P55" s="8">
        <v>0</v>
      </c>
      <c r="Q55" s="8">
        <v>7.1633240000000013E-3</v>
      </c>
      <c r="R55" s="8">
        <f t="shared" si="1"/>
        <v>1.2180821375000001E-2</v>
      </c>
    </row>
    <row r="56" spans="1:18" x14ac:dyDescent="0.4">
      <c r="A56" s="3" t="s">
        <v>90</v>
      </c>
      <c r="B56" s="4">
        <v>0</v>
      </c>
      <c r="C56" s="4">
        <v>6.2656639999999998E-3</v>
      </c>
      <c r="D56" s="4">
        <v>2.286237E-3</v>
      </c>
      <c r="E56" s="4">
        <v>0</v>
      </c>
      <c r="F56" s="4">
        <v>0</v>
      </c>
      <c r="G56" s="4">
        <v>1.7770597999999999E-2</v>
      </c>
      <c r="H56" s="4">
        <v>1.124498E-2</v>
      </c>
      <c r="I56" s="4">
        <v>0</v>
      </c>
      <c r="J56" s="4">
        <v>0</v>
      </c>
      <c r="K56" s="4">
        <v>3.1645570000000001E-3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9.3123210000000001E-3</v>
      </c>
      <c r="R56" s="4">
        <f t="shared" si="1"/>
        <v>3.1277723124999999E-3</v>
      </c>
    </row>
    <row r="57" spans="1:18" x14ac:dyDescent="0.4">
      <c r="A57" s="7" t="s">
        <v>128</v>
      </c>
      <c r="B57" s="8">
        <v>1.8544270000000001E-3</v>
      </c>
      <c r="C57" s="8">
        <v>0</v>
      </c>
      <c r="D57" s="8">
        <v>0</v>
      </c>
      <c r="E57" s="8">
        <v>2.4224810000000002E-3</v>
      </c>
      <c r="F57" s="8">
        <v>0</v>
      </c>
      <c r="G57" s="8">
        <v>0</v>
      </c>
      <c r="H57" s="8">
        <v>0</v>
      </c>
      <c r="I57" s="8">
        <v>0</v>
      </c>
      <c r="J57" s="8">
        <v>1.5584416E-2</v>
      </c>
      <c r="K57" s="8">
        <v>0</v>
      </c>
      <c r="L57" s="8">
        <v>0</v>
      </c>
      <c r="M57" s="8">
        <v>3.9039038999999998E-2</v>
      </c>
      <c r="N57" s="8">
        <v>2.7749229E-2</v>
      </c>
      <c r="O57" s="8">
        <v>0</v>
      </c>
      <c r="P57" s="8">
        <v>0</v>
      </c>
      <c r="Q57" s="8">
        <v>0</v>
      </c>
      <c r="R57" s="8">
        <f t="shared" si="1"/>
        <v>5.4155994999999998E-3</v>
      </c>
    </row>
    <row r="58" spans="1:18" x14ac:dyDescent="0.4">
      <c r="A58" s="3" t="s">
        <v>119</v>
      </c>
      <c r="B58" s="4">
        <v>5.0996754999999991E-2</v>
      </c>
      <c r="C58" s="4">
        <v>3.2581454000000003E-2</v>
      </c>
      <c r="D58" s="4">
        <v>6.2642890000000007E-2</v>
      </c>
      <c r="E58" s="4">
        <v>2.7616279000000001E-2</v>
      </c>
      <c r="F58" s="4">
        <v>6.4748200000000001E-3</v>
      </c>
      <c r="G58" s="4">
        <v>5.1696284000000002E-2</v>
      </c>
      <c r="H58" s="4">
        <v>3.9357429999999999E-2</v>
      </c>
      <c r="I58" s="4">
        <v>0.133333333</v>
      </c>
      <c r="J58" s="4">
        <v>6.3636364000000001E-2</v>
      </c>
      <c r="K58" s="4">
        <v>4.9050633000000003E-2</v>
      </c>
      <c r="L58" s="4">
        <v>1.9292605000000001E-2</v>
      </c>
      <c r="M58" s="4">
        <v>1.7017016999999999E-2</v>
      </c>
      <c r="N58" s="4">
        <v>3.3915725000000001E-2</v>
      </c>
      <c r="O58" s="4">
        <v>7.1748880000000008E-3</v>
      </c>
      <c r="P58" s="4">
        <v>6.6666666999999999E-2</v>
      </c>
      <c r="Q58" s="4">
        <v>4.0830946E-2</v>
      </c>
      <c r="R58" s="4">
        <f t="shared" si="1"/>
        <v>4.3892755624999995E-2</v>
      </c>
    </row>
    <row r="59" spans="1:18" x14ac:dyDescent="0.4">
      <c r="A59" s="7" t="s">
        <v>112</v>
      </c>
      <c r="B59" s="8">
        <v>6.0268889999999997E-3</v>
      </c>
      <c r="C59" s="8">
        <v>1.0025063000000001E-2</v>
      </c>
      <c r="D59" s="8">
        <v>5.029721E-3</v>
      </c>
      <c r="E59" s="8">
        <v>5.3294570000000001E-3</v>
      </c>
      <c r="F59" s="8">
        <v>9.3525180000000006E-3</v>
      </c>
      <c r="G59" s="8">
        <v>0</v>
      </c>
      <c r="H59" s="8">
        <v>0</v>
      </c>
      <c r="I59" s="8">
        <v>0</v>
      </c>
      <c r="J59" s="8">
        <v>0</v>
      </c>
      <c r="K59" s="8">
        <v>6.3291140000000003E-3</v>
      </c>
      <c r="L59" s="8">
        <v>0</v>
      </c>
      <c r="M59" s="8">
        <v>0</v>
      </c>
      <c r="N59" s="8">
        <v>9.2497429999999995E-3</v>
      </c>
      <c r="O59" s="8">
        <v>2.6008969E-2</v>
      </c>
      <c r="P59" s="8">
        <v>2.7906976999999999E-2</v>
      </c>
      <c r="Q59" s="8">
        <v>0</v>
      </c>
      <c r="R59" s="8">
        <f t="shared" si="1"/>
        <v>6.5786531875000002E-3</v>
      </c>
    </row>
    <row r="60" spans="1:18" x14ac:dyDescent="0.4">
      <c r="A60" s="3" t="s">
        <v>143</v>
      </c>
      <c r="B60" s="4">
        <v>1.3444599E-2</v>
      </c>
      <c r="C60" s="4">
        <v>9.3984959999999992E-3</v>
      </c>
      <c r="D60" s="4">
        <v>4.572474E-3</v>
      </c>
      <c r="E60" s="4">
        <v>0</v>
      </c>
      <c r="F60" s="4">
        <v>0</v>
      </c>
      <c r="G60" s="4">
        <v>0</v>
      </c>
      <c r="H60" s="4">
        <v>3.2128510000000001E-3</v>
      </c>
      <c r="I60" s="4">
        <v>0</v>
      </c>
      <c r="J60" s="4">
        <v>3.8961040000000001E-3</v>
      </c>
      <c r="K60" s="4">
        <v>6.3291140000000003E-3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4.2979940000000003E-3</v>
      </c>
      <c r="R60" s="4">
        <f t="shared" si="1"/>
        <v>2.8219769999999998E-3</v>
      </c>
    </row>
    <row r="61" spans="1:18" x14ac:dyDescent="0.4">
      <c r="A61" s="7" t="s">
        <v>101</v>
      </c>
      <c r="B61" s="8">
        <v>9.0403339999999999E-2</v>
      </c>
      <c r="C61" s="8">
        <v>7.7067670000000005E-2</v>
      </c>
      <c r="D61" s="8">
        <v>9.2363970000000004E-2</v>
      </c>
      <c r="E61" s="8">
        <v>7.2189920000000005E-2</v>
      </c>
      <c r="F61" s="8">
        <v>7.7697840000000004E-2</v>
      </c>
      <c r="G61" s="8">
        <v>3.3925690000000001E-2</v>
      </c>
      <c r="H61" s="8">
        <v>4.0963859999999998E-2</v>
      </c>
      <c r="I61" s="8">
        <v>0.10095237999999999</v>
      </c>
      <c r="J61" s="8">
        <v>3.7012990000000003E-2</v>
      </c>
      <c r="K61" s="8">
        <v>9.3354430000000002E-2</v>
      </c>
      <c r="L61" s="8">
        <v>2.7331190000000002E-2</v>
      </c>
      <c r="M61" s="8">
        <v>5.5055060000000003E-2</v>
      </c>
      <c r="N61" s="8">
        <v>3.2887979999999997E-2</v>
      </c>
      <c r="O61" s="8">
        <v>9.3273540000000002E-2</v>
      </c>
      <c r="P61" s="8">
        <v>0.13798450000000001</v>
      </c>
      <c r="Q61" s="8">
        <v>5.3008600000000003E-2</v>
      </c>
      <c r="R61" s="8">
        <f t="shared" si="1"/>
        <v>6.9717060000000011E-2</v>
      </c>
    </row>
    <row r="62" spans="1:18" x14ac:dyDescent="0.4">
      <c r="A62" s="3" t="s">
        <v>126</v>
      </c>
      <c r="B62" s="4">
        <v>7.4177099999999992E-3</v>
      </c>
      <c r="C62" s="4">
        <v>1.0025063000000001E-2</v>
      </c>
      <c r="D62" s="4">
        <v>5.029721E-3</v>
      </c>
      <c r="E62" s="4">
        <v>1.1143411000000001E-2</v>
      </c>
      <c r="F62" s="4">
        <v>1.1510790999999999E-2</v>
      </c>
      <c r="G62" s="4">
        <v>0.10662358600000001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6.0060060000000004E-3</v>
      </c>
      <c r="N62" s="4">
        <v>0</v>
      </c>
      <c r="O62" s="4">
        <v>2.9596412999999998E-2</v>
      </c>
      <c r="P62" s="4">
        <v>0</v>
      </c>
      <c r="Q62" s="4">
        <v>1.4326648000000001E-2</v>
      </c>
      <c r="R62" s="4">
        <f t="shared" si="1"/>
        <v>1.26049593125E-2</v>
      </c>
    </row>
  </sheetData>
  <autoFilter ref="A3:R62" xr:uid="{00000000-0009-0000-0000-00000E000000}"/>
  <mergeCells count="2">
    <mergeCell ref="A2:R2"/>
    <mergeCell ref="A1:R1"/>
  </mergeCells>
  <phoneticPr fontId="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6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9" customWidth="1"/>
    <col min="2" max="18" width="11" customWidth="1"/>
  </cols>
  <sheetData>
    <row r="1" spans="1:18" ht="28.05" customHeight="1" x14ac:dyDescent="0.4">
      <c r="A1" s="23" t="s">
        <v>233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4.049999999999997" customHeight="1" x14ac:dyDescent="0.4">
      <c r="A2" s="26" t="s">
        <v>189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1.95" customHeight="1" x14ac:dyDescent="0.4">
      <c r="A3" s="20" t="s">
        <v>232</v>
      </c>
      <c r="B3" s="20" t="s">
        <v>209</v>
      </c>
      <c r="C3" s="20" t="s">
        <v>210</v>
      </c>
      <c r="D3" s="20" t="s">
        <v>211</v>
      </c>
      <c r="E3" s="20" t="s">
        <v>212</v>
      </c>
      <c r="F3" s="20" t="s">
        <v>213</v>
      </c>
      <c r="G3" s="20" t="s">
        <v>214</v>
      </c>
      <c r="H3" s="20" t="s">
        <v>215</v>
      </c>
      <c r="I3" s="20" t="s">
        <v>216</v>
      </c>
      <c r="J3" s="20" t="s">
        <v>217</v>
      </c>
      <c r="K3" s="20" t="s">
        <v>218</v>
      </c>
      <c r="L3" s="20" t="s">
        <v>219</v>
      </c>
      <c r="M3" s="20" t="s">
        <v>220</v>
      </c>
      <c r="N3" s="20" t="s">
        <v>221</v>
      </c>
      <c r="O3" s="20" t="s">
        <v>222</v>
      </c>
      <c r="P3" s="20" t="s">
        <v>223</v>
      </c>
      <c r="Q3" s="20" t="s">
        <v>224</v>
      </c>
      <c r="R3" s="20" t="s">
        <v>207</v>
      </c>
    </row>
    <row r="4" spans="1:18" x14ac:dyDescent="0.4">
      <c r="A4" s="3" t="s">
        <v>80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4.5627380000000002E-3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5.7859210000000003E-3</v>
      </c>
      <c r="R4" s="4">
        <f t="shared" ref="R4:R35" si="0">AVERAGE(B4:Q4)</f>
        <v>6.4679118749999998E-4</v>
      </c>
    </row>
    <row r="5" spans="1:18" x14ac:dyDescent="0.4">
      <c r="A5" s="7" t="s">
        <v>103</v>
      </c>
      <c r="B5" s="8">
        <v>2.2932022999999999E-2</v>
      </c>
      <c r="C5" s="8">
        <v>0.110504775</v>
      </c>
      <c r="D5" s="8">
        <v>7.4315514999999999E-2</v>
      </c>
      <c r="E5" s="8">
        <v>4.5500506000000003E-2</v>
      </c>
      <c r="F5" s="8">
        <v>9.2976588999999998E-2</v>
      </c>
      <c r="G5" s="8">
        <v>5.3992394999999992E-2</v>
      </c>
      <c r="H5" s="8">
        <v>9.1451292000000003E-2</v>
      </c>
      <c r="I5" s="8">
        <v>8.1081080999999999E-2</v>
      </c>
      <c r="J5" s="8">
        <v>0</v>
      </c>
      <c r="K5" s="8">
        <v>3.8139535000000002E-2</v>
      </c>
      <c r="L5" s="8">
        <v>0</v>
      </c>
      <c r="M5" s="8">
        <v>6.2937063000000001E-2</v>
      </c>
      <c r="N5" s="8">
        <v>0</v>
      </c>
      <c r="O5" s="8">
        <v>0</v>
      </c>
      <c r="P5" s="8">
        <v>0.118271418</v>
      </c>
      <c r="Q5" s="8">
        <v>7.7145612000000002E-2</v>
      </c>
      <c r="R5" s="8">
        <f t="shared" si="0"/>
        <v>5.4327987750000001E-2</v>
      </c>
    </row>
    <row r="6" spans="1:18" x14ac:dyDescent="0.4">
      <c r="A6" s="3" t="s">
        <v>122</v>
      </c>
      <c r="B6" s="4">
        <v>3.5217035000000001E-2</v>
      </c>
      <c r="C6" s="4">
        <v>4.0927689999999996E-3</v>
      </c>
      <c r="D6" s="4">
        <v>3.9113430000000003E-3</v>
      </c>
      <c r="E6" s="4">
        <v>0</v>
      </c>
      <c r="F6" s="4">
        <v>8.0267559999999995E-3</v>
      </c>
      <c r="G6" s="4">
        <v>0</v>
      </c>
      <c r="H6" s="4">
        <v>1.988072E-3</v>
      </c>
      <c r="I6" s="4">
        <v>1.0810811E-2</v>
      </c>
      <c r="J6" s="4">
        <v>3.0042917999999991E-2</v>
      </c>
      <c r="K6" s="4">
        <v>3.7209302E-2</v>
      </c>
      <c r="L6" s="4">
        <v>0</v>
      </c>
      <c r="M6" s="4">
        <v>1.2820513E-2</v>
      </c>
      <c r="N6" s="4">
        <v>8.8365240000000001E-3</v>
      </c>
      <c r="O6" s="4">
        <v>0</v>
      </c>
      <c r="P6" s="4">
        <v>0</v>
      </c>
      <c r="Q6" s="4">
        <v>0</v>
      </c>
      <c r="R6" s="4">
        <f t="shared" si="0"/>
        <v>9.5597526875000009E-3</v>
      </c>
    </row>
    <row r="7" spans="1:18" x14ac:dyDescent="0.4">
      <c r="A7" s="7" t="s">
        <v>114</v>
      </c>
      <c r="B7" s="8">
        <v>4.0950041E-2</v>
      </c>
      <c r="C7" s="8">
        <v>0</v>
      </c>
      <c r="D7" s="8">
        <v>0</v>
      </c>
      <c r="E7" s="8">
        <v>0</v>
      </c>
      <c r="F7" s="8">
        <v>0</v>
      </c>
      <c r="G7" s="8">
        <v>9.1254749999999992E-3</v>
      </c>
      <c r="H7" s="8">
        <v>0</v>
      </c>
      <c r="I7" s="8">
        <v>8.4084079999999992E-3</v>
      </c>
      <c r="J7" s="8">
        <v>8.3690986999999994E-2</v>
      </c>
      <c r="K7" s="8">
        <v>5.5813953000000013E-2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f t="shared" si="0"/>
        <v>1.2374303999999999E-2</v>
      </c>
    </row>
    <row r="8" spans="1:18" x14ac:dyDescent="0.4">
      <c r="A8" s="3" t="s">
        <v>150</v>
      </c>
      <c r="B8" s="4">
        <v>0</v>
      </c>
      <c r="C8" s="4">
        <v>1.0914052E-2</v>
      </c>
      <c r="D8" s="4">
        <v>2.4771838000000001E-2</v>
      </c>
      <c r="E8" s="4">
        <v>0</v>
      </c>
      <c r="F8" s="4">
        <v>0</v>
      </c>
      <c r="G8" s="4">
        <v>6.844106E-3</v>
      </c>
      <c r="H8" s="4">
        <v>9.9403579999999998E-3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1.0309278E-2</v>
      </c>
      <c r="O8" s="4">
        <v>0</v>
      </c>
      <c r="P8" s="4">
        <v>1.0614102E-2</v>
      </c>
      <c r="Q8" s="4">
        <v>0</v>
      </c>
      <c r="R8" s="4">
        <f t="shared" si="0"/>
        <v>4.5871083750000001E-3</v>
      </c>
    </row>
    <row r="9" spans="1:18" x14ac:dyDescent="0.4">
      <c r="A9" s="7" t="s">
        <v>99</v>
      </c>
      <c r="B9" s="8">
        <v>1.0647011E-2</v>
      </c>
      <c r="C9" s="8">
        <v>0</v>
      </c>
      <c r="D9" s="8">
        <v>5.8670140000000003E-3</v>
      </c>
      <c r="E9" s="8">
        <v>8.0889789999999996E-3</v>
      </c>
      <c r="F9" s="8">
        <v>9.3645480000000003E-3</v>
      </c>
      <c r="G9" s="8">
        <v>0</v>
      </c>
      <c r="H9" s="8">
        <v>1.1928429000000001E-2</v>
      </c>
      <c r="I9" s="8">
        <v>0</v>
      </c>
      <c r="J9" s="8">
        <v>0</v>
      </c>
      <c r="K9" s="8">
        <v>1.1162791E-2</v>
      </c>
      <c r="L9" s="8">
        <v>0</v>
      </c>
      <c r="M9" s="8">
        <v>4.7785547999999997E-2</v>
      </c>
      <c r="N9" s="8">
        <v>2.0618556999999999E-2</v>
      </c>
      <c r="O9" s="8">
        <v>0.79596977300000005</v>
      </c>
      <c r="P9" s="8">
        <v>2.1986353E-2</v>
      </c>
      <c r="Q9" s="8">
        <v>3.8572806000000001E-2</v>
      </c>
      <c r="R9" s="8">
        <f t="shared" si="0"/>
        <v>6.1374488062500003E-2</v>
      </c>
    </row>
    <row r="10" spans="1:18" x14ac:dyDescent="0.4">
      <c r="A10" s="3" t="s">
        <v>108</v>
      </c>
      <c r="B10" s="4">
        <v>0</v>
      </c>
      <c r="C10" s="4">
        <v>8.1855390000000004E-3</v>
      </c>
      <c r="D10" s="4">
        <v>8.1486310000000006E-2</v>
      </c>
      <c r="E10" s="4">
        <v>9.7067744999999997E-2</v>
      </c>
      <c r="F10" s="4">
        <v>2.5418059999999999E-2</v>
      </c>
      <c r="G10" s="4">
        <v>0</v>
      </c>
      <c r="H10" s="4">
        <v>3.3797216999999997E-2</v>
      </c>
      <c r="I10" s="4">
        <v>0</v>
      </c>
      <c r="J10" s="4">
        <v>0</v>
      </c>
      <c r="K10" s="4">
        <v>0</v>
      </c>
      <c r="L10" s="4">
        <v>0</v>
      </c>
      <c r="M10" s="4">
        <v>1.7482517E-2</v>
      </c>
      <c r="N10" s="4">
        <v>2.5036818999999998E-2</v>
      </c>
      <c r="O10" s="4">
        <v>3.778338E-3</v>
      </c>
      <c r="P10" s="4">
        <v>2.4260804E-2</v>
      </c>
      <c r="Q10" s="4">
        <v>4.0501446000000003E-2</v>
      </c>
      <c r="R10" s="4">
        <f t="shared" si="0"/>
        <v>2.23134246875E-2</v>
      </c>
    </row>
    <row r="11" spans="1:18" x14ac:dyDescent="0.4">
      <c r="A11" s="7" t="s">
        <v>147</v>
      </c>
      <c r="B11" s="8">
        <v>1.2285012E-2</v>
      </c>
      <c r="C11" s="8">
        <v>0</v>
      </c>
      <c r="D11" s="8">
        <v>1.303781E-2</v>
      </c>
      <c r="E11" s="8">
        <v>1.0111223000000001E-2</v>
      </c>
      <c r="F11" s="8">
        <v>4.6822740000000002E-3</v>
      </c>
      <c r="G11" s="8">
        <v>8.3650189999999996E-3</v>
      </c>
      <c r="H11" s="8">
        <v>5.3015239999999993E-3</v>
      </c>
      <c r="I11" s="8">
        <v>0</v>
      </c>
      <c r="J11" s="8">
        <v>1.1802574999999999E-2</v>
      </c>
      <c r="K11" s="8">
        <v>3.7209299999999999E-3</v>
      </c>
      <c r="L11" s="8">
        <v>0</v>
      </c>
      <c r="M11" s="8">
        <v>4.6620050000000003E-3</v>
      </c>
      <c r="N11" s="8">
        <v>8.8365240000000001E-3</v>
      </c>
      <c r="O11" s="8">
        <v>0</v>
      </c>
      <c r="P11" s="8">
        <v>4.5489010000000002E-3</v>
      </c>
      <c r="Q11" s="8">
        <v>0</v>
      </c>
      <c r="R11" s="8">
        <f t="shared" si="0"/>
        <v>5.4596123124999998E-3</v>
      </c>
    </row>
    <row r="12" spans="1:18" x14ac:dyDescent="0.4">
      <c r="A12" s="3" t="s">
        <v>117</v>
      </c>
      <c r="B12" s="4">
        <v>1.965602E-2</v>
      </c>
      <c r="C12" s="4">
        <v>0</v>
      </c>
      <c r="D12" s="4">
        <v>7.8226860000000006E-3</v>
      </c>
      <c r="E12" s="4">
        <v>5.156724E-2</v>
      </c>
      <c r="F12" s="4">
        <v>2.6086957000000001E-2</v>
      </c>
      <c r="G12" s="4">
        <v>9.8859320000000001E-3</v>
      </c>
      <c r="H12" s="4">
        <v>1.4579191999999999E-2</v>
      </c>
      <c r="I12" s="4">
        <v>0</v>
      </c>
      <c r="J12" s="4">
        <v>3.2188841000000003E-2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f t="shared" si="0"/>
        <v>1.011167925E-2</v>
      </c>
    </row>
    <row r="13" spans="1:18" x14ac:dyDescent="0.4">
      <c r="A13" s="7" t="s">
        <v>149</v>
      </c>
      <c r="B13" s="8">
        <v>0</v>
      </c>
      <c r="C13" s="8">
        <v>2.273761E-3</v>
      </c>
      <c r="D13" s="8">
        <v>1.0430248E-2</v>
      </c>
      <c r="E13" s="8">
        <v>2.0222450000000002E-3</v>
      </c>
      <c r="F13" s="8">
        <v>0</v>
      </c>
      <c r="G13" s="8">
        <v>0</v>
      </c>
      <c r="H13" s="8">
        <v>1.325381E-2</v>
      </c>
      <c r="I13" s="8">
        <v>7.2072070000000002E-3</v>
      </c>
      <c r="J13" s="8">
        <v>0</v>
      </c>
      <c r="K13" s="8">
        <v>0</v>
      </c>
      <c r="L13" s="8">
        <v>1.5957447E-2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f t="shared" si="0"/>
        <v>3.1965448749999999E-3</v>
      </c>
    </row>
    <row r="14" spans="1:18" x14ac:dyDescent="0.4">
      <c r="A14" s="3" t="s">
        <v>130</v>
      </c>
      <c r="B14" s="4">
        <v>0</v>
      </c>
      <c r="C14" s="4">
        <v>5.0022740000000001E-3</v>
      </c>
      <c r="D14" s="4">
        <v>1.303781E-2</v>
      </c>
      <c r="E14" s="4">
        <v>0</v>
      </c>
      <c r="F14" s="4">
        <v>7.3578599999999991E-3</v>
      </c>
      <c r="G14" s="4">
        <v>1.0646388E-2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1.0614102E-2</v>
      </c>
      <c r="Q14" s="4">
        <v>1.3500481999999999E-2</v>
      </c>
      <c r="R14" s="4">
        <f t="shared" si="0"/>
        <v>3.75993225E-3</v>
      </c>
    </row>
    <row r="15" spans="1:18" x14ac:dyDescent="0.4">
      <c r="A15" s="7" t="s">
        <v>137</v>
      </c>
      <c r="B15" s="8">
        <v>0</v>
      </c>
      <c r="C15" s="8">
        <v>1.2278308E-2</v>
      </c>
      <c r="D15" s="8">
        <v>1.9556713999999999E-2</v>
      </c>
      <c r="E15" s="8">
        <v>1.5166835E-2</v>
      </c>
      <c r="F15" s="8">
        <v>0</v>
      </c>
      <c r="G15" s="8">
        <v>0</v>
      </c>
      <c r="H15" s="8">
        <v>1.5241882E-2</v>
      </c>
      <c r="I15" s="8">
        <v>0</v>
      </c>
      <c r="J15" s="8">
        <v>0</v>
      </c>
      <c r="K15" s="8">
        <v>0</v>
      </c>
      <c r="L15" s="8">
        <v>5.3191489000000002E-2</v>
      </c>
      <c r="M15" s="8">
        <v>0</v>
      </c>
      <c r="N15" s="8">
        <v>0</v>
      </c>
      <c r="O15" s="8">
        <v>0</v>
      </c>
      <c r="P15" s="8">
        <v>2.2744502999999999E-2</v>
      </c>
      <c r="Q15" s="8">
        <v>3.3751204999999999E-2</v>
      </c>
      <c r="R15" s="8">
        <f t="shared" si="0"/>
        <v>1.07456835E-2</v>
      </c>
    </row>
    <row r="16" spans="1:18" x14ac:dyDescent="0.4">
      <c r="A16" s="3" t="s">
        <v>125</v>
      </c>
      <c r="B16" s="4">
        <v>2.7846027999999998E-2</v>
      </c>
      <c r="C16" s="4">
        <v>0</v>
      </c>
      <c r="D16" s="4">
        <v>0</v>
      </c>
      <c r="E16" s="4">
        <v>5.0556120000000001E-3</v>
      </c>
      <c r="F16" s="4">
        <v>1.4046823E-2</v>
      </c>
      <c r="G16" s="4">
        <v>1.0646388E-2</v>
      </c>
      <c r="H16" s="4">
        <v>0</v>
      </c>
      <c r="I16" s="4">
        <v>1.0810811E-2</v>
      </c>
      <c r="J16" s="4">
        <v>1.9313304999999999E-2</v>
      </c>
      <c r="K16" s="4">
        <v>4.2790698000000002E-2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3.8572810000000002E-3</v>
      </c>
      <c r="R16" s="4">
        <f t="shared" si="0"/>
        <v>8.3979341249999992E-3</v>
      </c>
    </row>
    <row r="17" spans="1:18" x14ac:dyDescent="0.4">
      <c r="A17" s="7" t="s">
        <v>134</v>
      </c>
      <c r="B17" s="8">
        <v>1.0647011E-2</v>
      </c>
      <c r="C17" s="8">
        <v>2.9558890000000001E-2</v>
      </c>
      <c r="D17" s="8">
        <v>5.8670142999999987E-2</v>
      </c>
      <c r="E17" s="8">
        <v>3.9433770999999999E-2</v>
      </c>
      <c r="F17" s="8">
        <v>2.2073578999999999E-2</v>
      </c>
      <c r="G17" s="8">
        <v>2.4334601000000001E-2</v>
      </c>
      <c r="H17" s="8">
        <v>3.9761431E-2</v>
      </c>
      <c r="I17" s="8">
        <v>2.0420420000000002E-2</v>
      </c>
      <c r="J17" s="8">
        <v>5.3648070000000001E-3</v>
      </c>
      <c r="K17" s="8">
        <v>1.8604651E-2</v>
      </c>
      <c r="L17" s="8">
        <v>4.7872339999999999E-2</v>
      </c>
      <c r="M17" s="8">
        <v>2.5641026000000001E-2</v>
      </c>
      <c r="N17" s="8">
        <v>2.6509573000000002E-2</v>
      </c>
      <c r="O17" s="8">
        <v>0</v>
      </c>
      <c r="P17" s="8">
        <v>2.9567854000000001E-2</v>
      </c>
      <c r="Q17" s="8">
        <v>4.5323046999999998E-2</v>
      </c>
      <c r="R17" s="8">
        <f t="shared" si="0"/>
        <v>2.7736446500000008E-2</v>
      </c>
    </row>
    <row r="18" spans="1:18" x14ac:dyDescent="0.4">
      <c r="A18" s="3" t="s">
        <v>131</v>
      </c>
      <c r="B18" s="4">
        <v>0</v>
      </c>
      <c r="C18" s="4">
        <v>0</v>
      </c>
      <c r="D18" s="4">
        <v>6.5189050000000002E-3</v>
      </c>
      <c r="E18" s="4">
        <v>1.7189079999999999E-2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7.9787230000000001E-3</v>
      </c>
      <c r="M18" s="4">
        <v>2.0979021E-2</v>
      </c>
      <c r="N18" s="4">
        <v>8.8365240000000001E-3</v>
      </c>
      <c r="O18" s="4">
        <v>0</v>
      </c>
      <c r="P18" s="4">
        <v>1.1372251999999999E-2</v>
      </c>
      <c r="Q18" s="4">
        <v>6.7502410000000006E-3</v>
      </c>
      <c r="R18" s="4">
        <f t="shared" si="0"/>
        <v>4.9765466250000006E-3</v>
      </c>
    </row>
    <row r="19" spans="1:18" x14ac:dyDescent="0.4">
      <c r="A19" s="7" t="s">
        <v>148</v>
      </c>
      <c r="B19" s="8">
        <v>0</v>
      </c>
      <c r="C19" s="8">
        <v>3.6380169999999999E-3</v>
      </c>
      <c r="D19" s="8">
        <v>0</v>
      </c>
      <c r="E19" s="8">
        <v>5.0556120000000001E-3</v>
      </c>
      <c r="F19" s="8">
        <v>0</v>
      </c>
      <c r="G19" s="8">
        <v>0</v>
      </c>
      <c r="H19" s="8">
        <v>0</v>
      </c>
      <c r="I19" s="8">
        <v>6.0060060000000004E-3</v>
      </c>
      <c r="J19" s="8">
        <v>0</v>
      </c>
      <c r="K19" s="8">
        <v>0</v>
      </c>
      <c r="L19" s="8">
        <v>1.3297872000000001E-2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f t="shared" si="0"/>
        <v>1.7498441874999999E-3</v>
      </c>
    </row>
    <row r="20" spans="1:18" x14ac:dyDescent="0.4">
      <c r="A20" s="3" t="s">
        <v>104</v>
      </c>
      <c r="B20" s="4">
        <v>6.5520070000000012E-3</v>
      </c>
      <c r="C20" s="4">
        <v>4.1382447000000003E-2</v>
      </c>
      <c r="D20" s="4">
        <v>0</v>
      </c>
      <c r="E20" s="4">
        <v>0</v>
      </c>
      <c r="F20" s="4">
        <v>3.3444820000000002E-3</v>
      </c>
      <c r="G20" s="4">
        <v>2.0532319E-2</v>
      </c>
      <c r="H20" s="4">
        <v>8.6149769999999994E-3</v>
      </c>
      <c r="I20" s="4">
        <v>4.1441441000000002E-2</v>
      </c>
      <c r="J20" s="4">
        <v>1.0729614E-2</v>
      </c>
      <c r="K20" s="4">
        <v>1.5813952999999999E-2</v>
      </c>
      <c r="L20" s="4">
        <v>2.6595745E-2</v>
      </c>
      <c r="M20" s="4">
        <v>2.3310022999999999E-2</v>
      </c>
      <c r="N20" s="4">
        <v>7.8055965000000005E-2</v>
      </c>
      <c r="O20" s="4">
        <v>0</v>
      </c>
      <c r="P20" s="4">
        <v>2.9567854000000001E-2</v>
      </c>
      <c r="Q20" s="4">
        <v>3.5679846000000001E-2</v>
      </c>
      <c r="R20" s="4">
        <f t="shared" si="0"/>
        <v>2.1351292062500003E-2</v>
      </c>
    </row>
    <row r="21" spans="1:18" x14ac:dyDescent="0.4">
      <c r="A21" s="7" t="s">
        <v>142</v>
      </c>
      <c r="B21" s="8">
        <v>1.8018018E-2</v>
      </c>
      <c r="C21" s="8">
        <v>0</v>
      </c>
      <c r="D21" s="8">
        <v>0</v>
      </c>
      <c r="E21" s="8">
        <v>5.0556120000000001E-3</v>
      </c>
      <c r="F21" s="8">
        <v>0</v>
      </c>
      <c r="G21" s="8">
        <v>0</v>
      </c>
      <c r="H21" s="8">
        <v>0</v>
      </c>
      <c r="I21" s="8">
        <v>7.2072070000000002E-3</v>
      </c>
      <c r="J21" s="8">
        <v>4.2918449999999999E-3</v>
      </c>
      <c r="K21" s="8">
        <v>0</v>
      </c>
      <c r="L21" s="8">
        <v>0</v>
      </c>
      <c r="M21" s="8">
        <v>2.331002E-3</v>
      </c>
      <c r="N21" s="8">
        <v>0</v>
      </c>
      <c r="O21" s="8">
        <v>0</v>
      </c>
      <c r="P21" s="8">
        <v>5.3070510000000001E-3</v>
      </c>
      <c r="Q21" s="8">
        <v>0</v>
      </c>
      <c r="R21" s="8">
        <f t="shared" si="0"/>
        <v>2.6381709375E-3</v>
      </c>
    </row>
    <row r="22" spans="1:18" x14ac:dyDescent="0.4">
      <c r="A22" s="3" t="s">
        <v>100</v>
      </c>
      <c r="B22" s="4">
        <v>1.7199017E-2</v>
      </c>
      <c r="C22" s="4">
        <v>4.7748976999999998E-2</v>
      </c>
      <c r="D22" s="4">
        <v>1.5645372000000001E-2</v>
      </c>
      <c r="E22" s="4">
        <v>1.4155713E-2</v>
      </c>
      <c r="F22" s="4">
        <v>4.8829431E-2</v>
      </c>
      <c r="G22" s="4">
        <v>2.9657795000000001E-2</v>
      </c>
      <c r="H22" s="4">
        <v>9.9403579999999998E-3</v>
      </c>
      <c r="I22" s="4">
        <v>6.0660660999999991E-2</v>
      </c>
      <c r="J22" s="4">
        <v>1.6094421000000001E-2</v>
      </c>
      <c r="K22" s="4">
        <v>1.4883721000000001E-2</v>
      </c>
      <c r="L22" s="4">
        <v>2.6595745E-2</v>
      </c>
      <c r="M22" s="4">
        <v>1.0489510000000001E-2</v>
      </c>
      <c r="N22" s="4">
        <v>1.4727541E-2</v>
      </c>
      <c r="O22" s="4">
        <v>0</v>
      </c>
      <c r="P22" s="4">
        <v>1.5163002E-2</v>
      </c>
      <c r="Q22" s="4">
        <v>2.7965284E-2</v>
      </c>
      <c r="R22" s="4">
        <f t="shared" si="0"/>
        <v>2.3109784249999998E-2</v>
      </c>
    </row>
    <row r="23" spans="1:18" x14ac:dyDescent="0.4">
      <c r="A23" s="7" t="s">
        <v>152</v>
      </c>
      <c r="B23" s="8">
        <v>0</v>
      </c>
      <c r="C23" s="8">
        <v>2.0463847E-2</v>
      </c>
      <c r="D23" s="8">
        <v>2.2164276E-2</v>
      </c>
      <c r="E23" s="8">
        <v>1.2133468E-2</v>
      </c>
      <c r="F23" s="8">
        <v>2.1404682000000001E-2</v>
      </c>
      <c r="G23" s="8">
        <v>1.5209125E-2</v>
      </c>
      <c r="H23" s="8">
        <v>2.5182240000000002E-2</v>
      </c>
      <c r="I23" s="8">
        <v>0</v>
      </c>
      <c r="J23" s="8">
        <v>0</v>
      </c>
      <c r="K23" s="8">
        <v>0</v>
      </c>
      <c r="L23" s="8">
        <v>0</v>
      </c>
      <c r="M23" s="8">
        <v>3.3799533999999999E-2</v>
      </c>
      <c r="N23" s="8">
        <v>2.5036818999999998E-2</v>
      </c>
      <c r="O23" s="8">
        <v>0</v>
      </c>
      <c r="P23" s="8">
        <v>1.2888551999999999E-2</v>
      </c>
      <c r="Q23" s="8">
        <v>2.3143684000000001E-2</v>
      </c>
      <c r="R23" s="8">
        <f t="shared" si="0"/>
        <v>1.32141391875E-2</v>
      </c>
    </row>
    <row r="24" spans="1:18" x14ac:dyDescent="0.4">
      <c r="A24" s="3" t="s">
        <v>121</v>
      </c>
      <c r="B24" s="4">
        <v>2.3751023999999999E-2</v>
      </c>
      <c r="C24" s="4">
        <v>4.547522E-3</v>
      </c>
      <c r="D24" s="4">
        <v>0</v>
      </c>
      <c r="E24" s="4">
        <v>9.1001009999999993E-3</v>
      </c>
      <c r="F24" s="4">
        <v>6.688963E-3</v>
      </c>
      <c r="G24" s="4">
        <v>9.8859320000000001E-3</v>
      </c>
      <c r="H24" s="4">
        <v>6.6269049999999998E-3</v>
      </c>
      <c r="I24" s="4">
        <v>1.6816817000000001E-2</v>
      </c>
      <c r="J24" s="4">
        <v>7.5107300000000002E-3</v>
      </c>
      <c r="K24" s="4">
        <v>1.8604651E-2</v>
      </c>
      <c r="L24" s="4">
        <v>2.1276595999999998E-2</v>
      </c>
      <c r="M24" s="4">
        <v>0</v>
      </c>
      <c r="N24" s="4">
        <v>0</v>
      </c>
      <c r="O24" s="4">
        <v>0</v>
      </c>
      <c r="P24" s="4">
        <v>9.0978010000000008E-3</v>
      </c>
      <c r="Q24" s="4">
        <v>0</v>
      </c>
      <c r="R24" s="4">
        <f t="shared" si="0"/>
        <v>8.3691901250000002E-3</v>
      </c>
    </row>
    <row r="25" spans="1:18" x14ac:dyDescent="0.4">
      <c r="A25" s="7" t="s">
        <v>127</v>
      </c>
      <c r="B25" s="8">
        <v>1.4742015000000001E-2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2.6507620000000001E-3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f t="shared" si="0"/>
        <v>1.0870485625000001E-3</v>
      </c>
    </row>
    <row r="26" spans="1:18" x14ac:dyDescent="0.4">
      <c r="A26" s="3" t="s">
        <v>110</v>
      </c>
      <c r="B26" s="4">
        <v>0</v>
      </c>
      <c r="C26" s="4">
        <v>1.3187813E-2</v>
      </c>
      <c r="D26" s="4">
        <v>1.1082138E-2</v>
      </c>
      <c r="E26" s="4">
        <v>0</v>
      </c>
      <c r="F26" s="4">
        <v>0</v>
      </c>
      <c r="G26" s="4">
        <v>0</v>
      </c>
      <c r="H26" s="4">
        <v>9.9403579999999998E-3</v>
      </c>
      <c r="I26" s="4">
        <v>1.5015015E-2</v>
      </c>
      <c r="J26" s="4">
        <v>9.6566519999999999E-3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f t="shared" si="0"/>
        <v>3.6801234999999997E-3</v>
      </c>
    </row>
    <row r="27" spans="1:18" x14ac:dyDescent="0.4">
      <c r="A27" s="7" t="s">
        <v>88</v>
      </c>
      <c r="B27" s="8">
        <v>4.6683046999999998E-2</v>
      </c>
      <c r="C27" s="8">
        <v>1.682583E-2</v>
      </c>
      <c r="D27" s="8">
        <v>0</v>
      </c>
      <c r="E27" s="8">
        <v>0</v>
      </c>
      <c r="F27" s="8">
        <v>0</v>
      </c>
      <c r="G27" s="8">
        <v>3.1939163E-2</v>
      </c>
      <c r="H27" s="8">
        <v>9.9403579999999998E-3</v>
      </c>
      <c r="I27" s="8">
        <v>2.8828829E-2</v>
      </c>
      <c r="J27" s="8">
        <v>4.8283262E-2</v>
      </c>
      <c r="K27" s="8">
        <v>2.9767442000000002E-2</v>
      </c>
      <c r="L27" s="8">
        <v>3.1914893999999999E-2</v>
      </c>
      <c r="M27" s="8">
        <v>9.3240089999999994E-3</v>
      </c>
      <c r="N27" s="8">
        <v>5.8910159999999998E-3</v>
      </c>
      <c r="O27" s="8">
        <v>0</v>
      </c>
      <c r="P27" s="8">
        <v>1.8195603000000001E-2</v>
      </c>
      <c r="Q27" s="8">
        <v>0</v>
      </c>
      <c r="R27" s="8">
        <f t="shared" si="0"/>
        <v>1.7349590812500003E-2</v>
      </c>
    </row>
    <row r="28" spans="1:18" x14ac:dyDescent="0.4">
      <c r="A28" s="3" t="s">
        <v>132</v>
      </c>
      <c r="B28" s="4">
        <v>0</v>
      </c>
      <c r="C28" s="4">
        <v>3.0013643E-2</v>
      </c>
      <c r="D28" s="4">
        <v>5.8670140000000003E-3</v>
      </c>
      <c r="E28" s="4">
        <v>0</v>
      </c>
      <c r="F28" s="4">
        <v>2.2742475000000002E-2</v>
      </c>
      <c r="G28" s="4">
        <v>0</v>
      </c>
      <c r="H28" s="4">
        <v>0</v>
      </c>
      <c r="I28" s="4">
        <v>6.6066069999999996E-3</v>
      </c>
      <c r="J28" s="4">
        <v>0</v>
      </c>
      <c r="K28" s="4">
        <v>0</v>
      </c>
      <c r="L28" s="4">
        <v>2.1276595999999998E-2</v>
      </c>
      <c r="M28" s="4">
        <v>3.2634033E-2</v>
      </c>
      <c r="N28" s="4">
        <v>8.9837997000000003E-2</v>
      </c>
      <c r="O28" s="4">
        <v>0</v>
      </c>
      <c r="P28" s="4">
        <v>1.0614102E-2</v>
      </c>
      <c r="Q28" s="4">
        <v>1.0607521999999999E-2</v>
      </c>
      <c r="R28" s="4">
        <f t="shared" si="0"/>
        <v>1.4387499312500001E-2</v>
      </c>
    </row>
    <row r="29" spans="1:18" x14ac:dyDescent="0.4">
      <c r="A29" s="7" t="s">
        <v>120</v>
      </c>
      <c r="B29" s="8">
        <v>0</v>
      </c>
      <c r="C29" s="8">
        <v>1.13688E-2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1.06141E-2</v>
      </c>
      <c r="Q29" s="8">
        <v>0</v>
      </c>
      <c r="R29" s="8">
        <f t="shared" si="0"/>
        <v>1.37393125E-3</v>
      </c>
    </row>
    <row r="30" spans="1:18" x14ac:dyDescent="0.4">
      <c r="A30" s="3" t="s">
        <v>54</v>
      </c>
      <c r="B30" s="4">
        <v>4.0950040000000002E-3</v>
      </c>
      <c r="C30" s="4">
        <v>1.8190089999999999E-3</v>
      </c>
      <c r="D30" s="4">
        <v>0</v>
      </c>
      <c r="E30" s="4">
        <v>0</v>
      </c>
      <c r="F30" s="4">
        <v>1.8060201000000001E-2</v>
      </c>
      <c r="G30" s="4">
        <v>2.1292775999999999E-2</v>
      </c>
      <c r="H30" s="4">
        <v>0</v>
      </c>
      <c r="I30" s="4">
        <v>6.1261260999999997E-2</v>
      </c>
      <c r="J30" s="4">
        <v>2.1459230000000001E-3</v>
      </c>
      <c r="K30" s="4">
        <v>4.6511629999999998E-3</v>
      </c>
      <c r="L30" s="4">
        <v>0</v>
      </c>
      <c r="M30" s="4">
        <v>0</v>
      </c>
      <c r="N30" s="4">
        <v>0</v>
      </c>
      <c r="O30" s="4">
        <v>0</v>
      </c>
      <c r="P30" s="4">
        <v>8.339651E-3</v>
      </c>
      <c r="Q30" s="4">
        <v>1.2536162E-2</v>
      </c>
      <c r="R30" s="4">
        <f t="shared" si="0"/>
        <v>8.3875718749999995E-3</v>
      </c>
    </row>
    <row r="31" spans="1:18" x14ac:dyDescent="0.4">
      <c r="A31" s="7" t="s">
        <v>141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1.8018018E-2</v>
      </c>
      <c r="J31" s="8">
        <v>0</v>
      </c>
      <c r="K31" s="8">
        <v>5.5813950000000003E-3</v>
      </c>
      <c r="L31" s="8">
        <v>0</v>
      </c>
      <c r="M31" s="8">
        <v>0</v>
      </c>
      <c r="N31" s="8">
        <v>0</v>
      </c>
      <c r="O31" s="8">
        <v>0</v>
      </c>
      <c r="P31" s="8">
        <v>3.3358605E-2</v>
      </c>
      <c r="Q31" s="8">
        <v>2.0250723000000002E-2</v>
      </c>
      <c r="R31" s="8">
        <f t="shared" si="0"/>
        <v>4.8255463124999998E-3</v>
      </c>
    </row>
    <row r="32" spans="1:18" x14ac:dyDescent="0.4">
      <c r="A32" s="3" t="s">
        <v>144</v>
      </c>
      <c r="B32" s="4">
        <v>0</v>
      </c>
      <c r="C32" s="4">
        <v>7.276035000000001E-3</v>
      </c>
      <c r="D32" s="4">
        <v>2.0860495E-2</v>
      </c>
      <c r="E32" s="4">
        <v>3.9433770999999999E-2</v>
      </c>
      <c r="F32" s="4">
        <v>0</v>
      </c>
      <c r="G32" s="4">
        <v>1.3688212999999999E-2</v>
      </c>
      <c r="H32" s="4">
        <v>2.3194168000000001E-2</v>
      </c>
      <c r="I32" s="4">
        <v>7.8078080000000003E-3</v>
      </c>
      <c r="J32" s="4">
        <v>0</v>
      </c>
      <c r="K32" s="4">
        <v>0</v>
      </c>
      <c r="L32" s="4">
        <v>0</v>
      </c>
      <c r="M32" s="4">
        <v>3.1468531000000001E-2</v>
      </c>
      <c r="N32" s="4">
        <v>0</v>
      </c>
      <c r="O32" s="4">
        <v>0</v>
      </c>
      <c r="P32" s="4">
        <v>6.8233510000000001E-3</v>
      </c>
      <c r="Q32" s="4">
        <v>3.9537125999999999E-2</v>
      </c>
      <c r="R32" s="4">
        <f t="shared" si="0"/>
        <v>1.1880593625000001E-2</v>
      </c>
    </row>
    <row r="33" spans="1:18" x14ac:dyDescent="0.4">
      <c r="A33" s="7" t="s">
        <v>106</v>
      </c>
      <c r="B33" s="8">
        <v>0</v>
      </c>
      <c r="C33" s="8">
        <v>5.4570259000000003E-2</v>
      </c>
      <c r="D33" s="8">
        <v>3.2594524E-2</v>
      </c>
      <c r="E33" s="8">
        <v>2.8311426000000001E-2</v>
      </c>
      <c r="F33" s="8">
        <v>2.5418059999999999E-2</v>
      </c>
      <c r="G33" s="8">
        <v>3.4220531999999998E-2</v>
      </c>
      <c r="H33" s="8">
        <v>1.5904573000000002E-2</v>
      </c>
      <c r="I33" s="8">
        <v>2.0420420000000002E-2</v>
      </c>
      <c r="J33" s="8">
        <v>0</v>
      </c>
      <c r="K33" s="8">
        <v>1.0232557999999999E-2</v>
      </c>
      <c r="L33" s="8">
        <v>0</v>
      </c>
      <c r="M33" s="8">
        <v>3.7296036999999997E-2</v>
      </c>
      <c r="N33" s="8">
        <v>7.8055965000000005E-2</v>
      </c>
      <c r="O33" s="8">
        <v>0</v>
      </c>
      <c r="P33" s="8">
        <v>1.8953753E-2</v>
      </c>
      <c r="Q33" s="8">
        <v>2.0250723000000002E-2</v>
      </c>
      <c r="R33" s="8">
        <f t="shared" si="0"/>
        <v>2.3514301875000001E-2</v>
      </c>
    </row>
    <row r="34" spans="1:18" x14ac:dyDescent="0.4">
      <c r="A34" s="3" t="s">
        <v>113</v>
      </c>
      <c r="B34" s="4">
        <v>2.9484030000000001E-2</v>
      </c>
      <c r="C34" s="4">
        <v>1.455207E-2</v>
      </c>
      <c r="D34" s="4">
        <v>4.1069099999999997E-2</v>
      </c>
      <c r="E34" s="4">
        <v>4.6511629999999998E-2</v>
      </c>
      <c r="F34" s="4">
        <v>2.4080270000000001E-2</v>
      </c>
      <c r="G34" s="4">
        <v>3.8783270000000002E-2</v>
      </c>
      <c r="H34" s="4">
        <v>7.5546719999999998E-2</v>
      </c>
      <c r="I34" s="4">
        <v>1.321321E-2</v>
      </c>
      <c r="J34" s="4">
        <v>1.7167379999999999E-2</v>
      </c>
      <c r="K34" s="4">
        <v>1.023256E-2</v>
      </c>
      <c r="L34" s="4">
        <v>0</v>
      </c>
      <c r="M34" s="4">
        <v>3.3799530000000001E-2</v>
      </c>
      <c r="N34" s="4">
        <v>3.0927840000000002E-2</v>
      </c>
      <c r="O34" s="4">
        <v>0</v>
      </c>
      <c r="P34" s="4">
        <v>3.2600450000000003E-2</v>
      </c>
      <c r="Q34" s="4">
        <v>0</v>
      </c>
      <c r="R34" s="4">
        <f t="shared" si="0"/>
        <v>2.5498003749999998E-2</v>
      </c>
    </row>
    <row r="35" spans="1:18" x14ac:dyDescent="0.4">
      <c r="A35" s="7" t="s">
        <v>105</v>
      </c>
      <c r="B35" s="8">
        <v>8.1900080000000004E-3</v>
      </c>
      <c r="C35" s="8">
        <v>1.8190089999999999E-3</v>
      </c>
      <c r="D35" s="8">
        <v>0</v>
      </c>
      <c r="E35" s="8">
        <v>0</v>
      </c>
      <c r="F35" s="8">
        <v>0</v>
      </c>
      <c r="G35" s="8">
        <v>3.0418250000000002E-3</v>
      </c>
      <c r="H35" s="8">
        <v>1.988072E-3</v>
      </c>
      <c r="I35" s="8">
        <v>6.6066069999999996E-3</v>
      </c>
      <c r="J35" s="8">
        <v>0</v>
      </c>
      <c r="K35" s="8">
        <v>0</v>
      </c>
      <c r="L35" s="8">
        <v>0.10372340400000001</v>
      </c>
      <c r="M35" s="8">
        <v>0</v>
      </c>
      <c r="N35" s="8">
        <v>0</v>
      </c>
      <c r="O35" s="8">
        <v>0.20025188899999999</v>
      </c>
      <c r="P35" s="8">
        <v>0</v>
      </c>
      <c r="Q35" s="8">
        <v>1.9286399999999999E-3</v>
      </c>
      <c r="R35" s="8">
        <f t="shared" si="0"/>
        <v>2.0471840874999998E-2</v>
      </c>
    </row>
    <row r="36" spans="1:18" x14ac:dyDescent="0.4">
      <c r="A36" s="3" t="s">
        <v>111</v>
      </c>
      <c r="B36" s="4">
        <v>3.1941032000000001E-2</v>
      </c>
      <c r="C36" s="4">
        <v>2.0009095000000001E-2</v>
      </c>
      <c r="D36" s="4">
        <v>3.9765319E-2</v>
      </c>
      <c r="E36" s="4">
        <v>6.0667341E-2</v>
      </c>
      <c r="F36" s="4">
        <v>1.270903E-2</v>
      </c>
      <c r="G36" s="4">
        <v>2.3574143999999998E-2</v>
      </c>
      <c r="H36" s="4">
        <v>4.9039099000000003E-2</v>
      </c>
      <c r="I36" s="4">
        <v>1.3213213E-2</v>
      </c>
      <c r="J36" s="4">
        <v>3.3261803E-2</v>
      </c>
      <c r="K36" s="4">
        <v>3.2558139999999999E-2</v>
      </c>
      <c r="L36" s="4">
        <v>0</v>
      </c>
      <c r="M36" s="4">
        <v>2.6806527E-2</v>
      </c>
      <c r="N36" s="4">
        <v>2.7982327000000001E-2</v>
      </c>
      <c r="O36" s="4">
        <v>0</v>
      </c>
      <c r="P36" s="4">
        <v>3.3358605E-2</v>
      </c>
      <c r="Q36" s="4">
        <v>3.5679846000000001E-2</v>
      </c>
      <c r="R36" s="4">
        <f t="shared" ref="R36:R67" si="1">AVERAGE(B36:Q36)</f>
        <v>2.7535345062500004E-2</v>
      </c>
    </row>
    <row r="37" spans="1:18" x14ac:dyDescent="0.4">
      <c r="A37" s="7" t="s">
        <v>123</v>
      </c>
      <c r="B37" s="8">
        <v>0</v>
      </c>
      <c r="C37" s="8">
        <v>9.5497949999999998E-3</v>
      </c>
      <c r="D37" s="8">
        <v>2.2816166999999998E-2</v>
      </c>
      <c r="E37" s="8">
        <v>0</v>
      </c>
      <c r="F37" s="8">
        <v>1.8729097E-2</v>
      </c>
      <c r="G37" s="8">
        <v>1.5209125E-2</v>
      </c>
      <c r="H37" s="8">
        <v>9.2776669999999999E-3</v>
      </c>
      <c r="I37" s="8">
        <v>7.8078080000000003E-3</v>
      </c>
      <c r="J37" s="8">
        <v>4.2918449999999999E-3</v>
      </c>
      <c r="K37" s="8">
        <v>7.4418599999999998E-3</v>
      </c>
      <c r="L37" s="8">
        <v>0</v>
      </c>
      <c r="M37" s="8">
        <v>1.8648018999999998E-2</v>
      </c>
      <c r="N37" s="8">
        <v>0</v>
      </c>
      <c r="O37" s="8">
        <v>0</v>
      </c>
      <c r="P37" s="8">
        <v>2.5018953999999999E-2</v>
      </c>
      <c r="Q37" s="8">
        <v>1.4464802000000001E-2</v>
      </c>
      <c r="R37" s="8">
        <f t="shared" si="1"/>
        <v>9.5784461875000008E-3</v>
      </c>
    </row>
    <row r="38" spans="1:18" x14ac:dyDescent="0.4">
      <c r="A38" s="3" t="s">
        <v>136</v>
      </c>
      <c r="B38" s="4">
        <v>0</v>
      </c>
      <c r="C38" s="4">
        <v>2.6375630000000001E-2</v>
      </c>
      <c r="D38" s="4">
        <v>1.6297260000000001E-2</v>
      </c>
      <c r="E38" s="4">
        <v>0</v>
      </c>
      <c r="F38" s="4">
        <v>0</v>
      </c>
      <c r="G38" s="4">
        <v>3.1939160000000001E-2</v>
      </c>
      <c r="H38" s="4">
        <v>1.5241879999999999E-2</v>
      </c>
      <c r="I38" s="4">
        <v>0</v>
      </c>
      <c r="J38" s="4">
        <v>3.0042920000000001E-2</v>
      </c>
      <c r="K38" s="4">
        <v>3.069767E-2</v>
      </c>
      <c r="L38" s="4">
        <v>0</v>
      </c>
      <c r="M38" s="4">
        <v>0</v>
      </c>
      <c r="N38" s="4">
        <v>7.2164950000000005E-2</v>
      </c>
      <c r="O38" s="4">
        <v>0</v>
      </c>
      <c r="P38" s="4">
        <v>3.4874910000000002E-2</v>
      </c>
      <c r="Q38" s="4">
        <v>1.6393439999999999E-2</v>
      </c>
      <c r="R38" s="4">
        <f t="shared" si="1"/>
        <v>1.7126738749999999E-2</v>
      </c>
    </row>
    <row r="39" spans="1:18" x14ac:dyDescent="0.4">
      <c r="A39" s="7" t="s">
        <v>115</v>
      </c>
      <c r="B39" s="8">
        <v>4.9140049999999999E-3</v>
      </c>
      <c r="C39" s="8">
        <v>8.1855390000000004E-3</v>
      </c>
      <c r="D39" s="8">
        <v>5.8670140000000003E-3</v>
      </c>
      <c r="E39" s="8">
        <v>5.0556120000000001E-3</v>
      </c>
      <c r="F39" s="8">
        <v>5.3511710000000001E-3</v>
      </c>
      <c r="G39" s="8">
        <v>1.0646388E-2</v>
      </c>
      <c r="H39" s="8">
        <v>1.1265739E-2</v>
      </c>
      <c r="I39" s="8">
        <v>1.7417417000000001E-2</v>
      </c>
      <c r="J39" s="8">
        <v>0</v>
      </c>
      <c r="K39" s="8">
        <v>1.1162791E-2</v>
      </c>
      <c r="L39" s="8">
        <v>5.0531914999999997E-2</v>
      </c>
      <c r="M39" s="8">
        <v>1.0489510000000001E-2</v>
      </c>
      <c r="N39" s="8">
        <v>4.4182620000000001E-3</v>
      </c>
      <c r="O39" s="8">
        <v>0</v>
      </c>
      <c r="P39" s="8">
        <v>0</v>
      </c>
      <c r="Q39" s="8">
        <v>0</v>
      </c>
      <c r="R39" s="8">
        <f t="shared" si="1"/>
        <v>9.0815851875000013E-3</v>
      </c>
    </row>
    <row r="40" spans="1:18" x14ac:dyDescent="0.4">
      <c r="A40" s="3" t="s">
        <v>145</v>
      </c>
      <c r="B40" s="4">
        <v>0</v>
      </c>
      <c r="C40" s="4">
        <v>0</v>
      </c>
      <c r="D40" s="4">
        <v>0</v>
      </c>
      <c r="E40" s="4">
        <v>0</v>
      </c>
      <c r="F40" s="4">
        <v>6.0200669999999996E-3</v>
      </c>
      <c r="G40" s="4">
        <v>0</v>
      </c>
      <c r="H40" s="4">
        <v>0</v>
      </c>
      <c r="I40" s="4">
        <v>7.2072070000000002E-3</v>
      </c>
      <c r="J40" s="4">
        <v>3.218884E-3</v>
      </c>
      <c r="K40" s="4">
        <v>6.5116280000000002E-3</v>
      </c>
      <c r="L40" s="4">
        <v>0</v>
      </c>
      <c r="M40" s="4">
        <v>0</v>
      </c>
      <c r="N40" s="4">
        <v>0</v>
      </c>
      <c r="O40" s="4">
        <v>0</v>
      </c>
      <c r="P40" s="4">
        <v>3.7907510000000002E-3</v>
      </c>
      <c r="Q40" s="4">
        <v>4.821601E-3</v>
      </c>
      <c r="R40" s="4">
        <f t="shared" si="1"/>
        <v>1.9731336250000003E-3</v>
      </c>
    </row>
    <row r="41" spans="1:18" x14ac:dyDescent="0.4">
      <c r="A41" s="7" t="s">
        <v>109</v>
      </c>
      <c r="B41" s="8">
        <v>3.5217039999999998E-2</v>
      </c>
      <c r="C41" s="8">
        <v>8.185539E-2</v>
      </c>
      <c r="D41" s="8">
        <v>7.7574969999999993E-2</v>
      </c>
      <c r="E41" s="8">
        <v>7.3811929999999998E-2</v>
      </c>
      <c r="F41" s="8">
        <v>8.0267560000000002E-2</v>
      </c>
      <c r="G41" s="8">
        <v>9.2775670000000005E-2</v>
      </c>
      <c r="H41" s="8">
        <v>8.6149770000000001E-2</v>
      </c>
      <c r="I41" s="8">
        <v>4.8048050000000002E-2</v>
      </c>
      <c r="J41" s="8">
        <v>2.0386270000000001E-2</v>
      </c>
      <c r="K41" s="8">
        <v>2.2325580000000001E-2</v>
      </c>
      <c r="L41" s="8">
        <v>3.4574470000000003E-2</v>
      </c>
      <c r="M41" s="8">
        <v>8.8578089999999998E-2</v>
      </c>
      <c r="N41" s="8">
        <v>0.13696612999999999</v>
      </c>
      <c r="O41" s="8">
        <v>0</v>
      </c>
      <c r="P41" s="8">
        <v>7.6573160000000001E-2</v>
      </c>
      <c r="Q41" s="8">
        <v>8.8717450000000003E-2</v>
      </c>
      <c r="R41" s="8">
        <f t="shared" si="1"/>
        <v>6.5238845625E-2</v>
      </c>
    </row>
    <row r="42" spans="1:18" x14ac:dyDescent="0.4">
      <c r="A42" s="3" t="s">
        <v>23</v>
      </c>
      <c r="B42" s="4">
        <v>3.3579033600000002E-2</v>
      </c>
      <c r="C42" s="4">
        <v>0</v>
      </c>
      <c r="D42" s="4">
        <v>3.2594524000000001E-3</v>
      </c>
      <c r="E42" s="4">
        <v>0</v>
      </c>
      <c r="F42" s="4">
        <v>4.7491638799999999E-2</v>
      </c>
      <c r="G42" s="4">
        <v>3.2699619800000003E-2</v>
      </c>
      <c r="H42" s="4">
        <v>1.1928429399999999E-2</v>
      </c>
      <c r="I42" s="4">
        <v>8.4684684699999999E-2</v>
      </c>
      <c r="J42" s="4">
        <v>4.3991416300000002E-2</v>
      </c>
      <c r="K42" s="4">
        <v>4.2790697699999998E-2</v>
      </c>
      <c r="L42" s="4">
        <v>1.06382979E-2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f t="shared" si="1"/>
        <v>1.94414544125E-2</v>
      </c>
    </row>
    <row r="43" spans="1:18" x14ac:dyDescent="0.4">
      <c r="A43" s="7" t="s">
        <v>146</v>
      </c>
      <c r="B43" s="8">
        <v>0</v>
      </c>
      <c r="C43" s="8">
        <v>1.9099590999999999E-2</v>
      </c>
      <c r="D43" s="8">
        <v>5.2151239000000002E-2</v>
      </c>
      <c r="E43" s="8">
        <v>3.9433770999999999E-2</v>
      </c>
      <c r="F43" s="8">
        <v>2.2742475000000002E-2</v>
      </c>
      <c r="G43" s="8">
        <v>8.3650189999999996E-3</v>
      </c>
      <c r="H43" s="8">
        <v>9.2776669999999999E-3</v>
      </c>
      <c r="I43" s="8">
        <v>0</v>
      </c>
      <c r="J43" s="8">
        <v>0</v>
      </c>
      <c r="K43" s="8">
        <v>1.3953488E-2</v>
      </c>
      <c r="L43" s="8">
        <v>0</v>
      </c>
      <c r="M43" s="8">
        <v>8.1585080000000001E-3</v>
      </c>
      <c r="N43" s="8">
        <v>0</v>
      </c>
      <c r="O43" s="8">
        <v>0</v>
      </c>
      <c r="P43" s="8">
        <v>0</v>
      </c>
      <c r="Q43" s="8">
        <v>3.8572810000000002E-3</v>
      </c>
      <c r="R43" s="8">
        <f t="shared" si="1"/>
        <v>1.1064939937500001E-2</v>
      </c>
    </row>
    <row r="44" spans="1:18" x14ac:dyDescent="0.4">
      <c r="A44" s="3" t="s">
        <v>116</v>
      </c>
      <c r="B44" s="4">
        <v>0</v>
      </c>
      <c r="C44" s="4">
        <v>6.5484310000000004E-2</v>
      </c>
      <c r="D44" s="4">
        <v>2.2164280000000001E-2</v>
      </c>
      <c r="E44" s="4">
        <v>0</v>
      </c>
      <c r="F44" s="4">
        <v>2.2073579999999999E-2</v>
      </c>
      <c r="G44" s="4">
        <v>2.813688E-2</v>
      </c>
      <c r="H44" s="4">
        <v>1.656726E-2</v>
      </c>
      <c r="I44" s="4">
        <v>1.0210210000000001E-2</v>
      </c>
      <c r="J44" s="4">
        <v>0</v>
      </c>
      <c r="K44" s="4">
        <v>1.488372E-2</v>
      </c>
      <c r="L44" s="4">
        <v>0</v>
      </c>
      <c r="M44" s="4">
        <v>0</v>
      </c>
      <c r="N44" s="4">
        <v>4.123711E-2</v>
      </c>
      <c r="O44" s="4">
        <v>0</v>
      </c>
      <c r="P44" s="4">
        <v>0</v>
      </c>
      <c r="Q44" s="4">
        <v>0</v>
      </c>
      <c r="R44" s="4">
        <f t="shared" si="1"/>
        <v>1.3797334374999998E-2</v>
      </c>
    </row>
    <row r="45" spans="1:18" x14ac:dyDescent="0.4">
      <c r="A45" s="7" t="s">
        <v>140</v>
      </c>
      <c r="B45" s="8">
        <v>0</v>
      </c>
      <c r="C45" s="8">
        <v>3.8653930000000003E-2</v>
      </c>
      <c r="D45" s="8">
        <v>7.3011729999999997E-2</v>
      </c>
      <c r="E45" s="8">
        <v>1.82002E-2</v>
      </c>
      <c r="F45" s="8">
        <v>4.6822740000000002E-2</v>
      </c>
      <c r="G45" s="8">
        <v>3.1939160000000001E-2</v>
      </c>
      <c r="H45" s="8">
        <v>4.7051030000000001E-2</v>
      </c>
      <c r="I45" s="8">
        <v>1.9819819999999998E-2</v>
      </c>
      <c r="J45" s="8">
        <v>1.8240340000000001E-2</v>
      </c>
      <c r="K45" s="8">
        <v>2.4186050000000001E-2</v>
      </c>
      <c r="L45" s="8">
        <v>0</v>
      </c>
      <c r="M45" s="8">
        <v>1.9813520000000001E-2</v>
      </c>
      <c r="N45" s="8">
        <v>0</v>
      </c>
      <c r="O45" s="8">
        <v>0</v>
      </c>
      <c r="P45" s="8">
        <v>2.4260799999999999E-2</v>
      </c>
      <c r="Q45" s="8">
        <v>4.0501450000000001E-2</v>
      </c>
      <c r="R45" s="8">
        <f t="shared" si="1"/>
        <v>2.5156298125E-2</v>
      </c>
    </row>
    <row r="46" spans="1:18" x14ac:dyDescent="0.4">
      <c r="A46" s="3" t="s">
        <v>129</v>
      </c>
      <c r="B46" s="4">
        <v>0</v>
      </c>
      <c r="C46" s="4">
        <v>0</v>
      </c>
      <c r="D46" s="4">
        <v>0</v>
      </c>
      <c r="E46" s="4">
        <v>0</v>
      </c>
      <c r="F46" s="4">
        <v>7.3578599999999991E-3</v>
      </c>
      <c r="G46" s="4">
        <v>0</v>
      </c>
      <c r="H46" s="4">
        <v>0</v>
      </c>
      <c r="I46" s="4">
        <v>3.6036039999999998E-3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f t="shared" si="1"/>
        <v>6.8509149999999993E-4</v>
      </c>
    </row>
    <row r="47" spans="1:18" x14ac:dyDescent="0.4">
      <c r="A47" s="7" t="s">
        <v>133</v>
      </c>
      <c r="B47" s="8">
        <v>0</v>
      </c>
      <c r="C47" s="8">
        <v>0</v>
      </c>
      <c r="D47" s="8">
        <v>0</v>
      </c>
      <c r="E47" s="8">
        <v>7.0778560000000004E-3</v>
      </c>
      <c r="F47" s="8">
        <v>6.0200669999999996E-3</v>
      </c>
      <c r="G47" s="8">
        <v>4.5627380000000002E-3</v>
      </c>
      <c r="H47" s="8">
        <v>0</v>
      </c>
      <c r="I47" s="8">
        <v>0</v>
      </c>
      <c r="J47" s="8">
        <v>1.1802574999999999E-2</v>
      </c>
      <c r="K47" s="8">
        <v>7.4418599999999998E-3</v>
      </c>
      <c r="L47" s="8">
        <v>0</v>
      </c>
      <c r="M47" s="8">
        <v>6.9930069999999999E-3</v>
      </c>
      <c r="N47" s="8">
        <v>0</v>
      </c>
      <c r="O47" s="8">
        <v>0</v>
      </c>
      <c r="P47" s="8">
        <v>0</v>
      </c>
      <c r="Q47" s="8">
        <v>4.821601E-3</v>
      </c>
      <c r="R47" s="8">
        <f t="shared" si="1"/>
        <v>3.0449815000000002E-3</v>
      </c>
    </row>
    <row r="48" spans="1:18" x14ac:dyDescent="0.4">
      <c r="A48" s="3" t="s">
        <v>124</v>
      </c>
      <c r="B48" s="4">
        <v>0</v>
      </c>
      <c r="C48" s="4">
        <v>0</v>
      </c>
      <c r="D48" s="4">
        <v>2.2164276E-2</v>
      </c>
      <c r="E48" s="4">
        <v>4.2467139000000001E-2</v>
      </c>
      <c r="F48" s="4">
        <v>1.1371236999999999E-2</v>
      </c>
      <c r="G48" s="4">
        <v>1.5209125E-2</v>
      </c>
      <c r="H48" s="4">
        <v>1.5241882E-2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f t="shared" si="1"/>
        <v>6.6533536875000004E-3</v>
      </c>
    </row>
    <row r="49" spans="1:18" x14ac:dyDescent="0.4">
      <c r="A49" s="7" t="s">
        <v>139</v>
      </c>
      <c r="B49" s="8">
        <v>0</v>
      </c>
      <c r="C49" s="8">
        <v>5.0022740000000001E-3</v>
      </c>
      <c r="D49" s="8">
        <v>1.7601043E-2</v>
      </c>
      <c r="E49" s="8">
        <v>0</v>
      </c>
      <c r="F49" s="8">
        <v>2.0066889999999999E-3</v>
      </c>
      <c r="G49" s="8">
        <v>0</v>
      </c>
      <c r="H49" s="8">
        <v>1.988072E-3</v>
      </c>
      <c r="I49" s="8">
        <v>0</v>
      </c>
      <c r="J49" s="8">
        <v>0</v>
      </c>
      <c r="K49" s="8">
        <v>0</v>
      </c>
      <c r="L49" s="8">
        <v>0</v>
      </c>
      <c r="M49" s="8">
        <v>4.6620050000000003E-3</v>
      </c>
      <c r="N49" s="8">
        <v>5.8910159999999998E-3</v>
      </c>
      <c r="O49" s="8">
        <v>0</v>
      </c>
      <c r="P49" s="8">
        <v>0</v>
      </c>
      <c r="Q49" s="8">
        <v>6.7502410000000006E-3</v>
      </c>
      <c r="R49" s="8">
        <f t="shared" si="1"/>
        <v>2.7438337499999998E-3</v>
      </c>
    </row>
    <row r="50" spans="1:18" x14ac:dyDescent="0.4">
      <c r="A50" s="3" t="s">
        <v>151</v>
      </c>
      <c r="B50" s="4">
        <v>0</v>
      </c>
      <c r="C50" s="4">
        <v>0</v>
      </c>
      <c r="D50" s="4">
        <v>3.2594519999999999E-3</v>
      </c>
      <c r="E50" s="4">
        <v>2.0222450000000002E-3</v>
      </c>
      <c r="F50" s="4">
        <v>0</v>
      </c>
      <c r="G50" s="4">
        <v>0</v>
      </c>
      <c r="H50" s="4">
        <v>1.988072E-3</v>
      </c>
      <c r="I50" s="4">
        <v>0</v>
      </c>
      <c r="J50" s="4">
        <v>0</v>
      </c>
      <c r="K50" s="4">
        <v>0</v>
      </c>
      <c r="L50" s="4">
        <v>0</v>
      </c>
      <c r="M50" s="4">
        <v>8.1585080000000001E-3</v>
      </c>
      <c r="N50" s="4">
        <v>0</v>
      </c>
      <c r="O50" s="4">
        <v>0</v>
      </c>
      <c r="P50" s="4">
        <v>5.3070510000000001E-3</v>
      </c>
      <c r="Q50" s="4">
        <v>4.821601E-3</v>
      </c>
      <c r="R50" s="4">
        <f t="shared" si="1"/>
        <v>1.5973080624999999E-3</v>
      </c>
    </row>
    <row r="51" spans="1:18" x14ac:dyDescent="0.4">
      <c r="A51" s="7" t="s">
        <v>138</v>
      </c>
      <c r="B51" s="8">
        <v>1.965602E-2</v>
      </c>
      <c r="C51" s="8">
        <v>2.2737607999999999E-2</v>
      </c>
      <c r="D51" s="8">
        <v>1.1082138E-2</v>
      </c>
      <c r="E51" s="8">
        <v>0</v>
      </c>
      <c r="F51" s="8">
        <v>1.9397992999999999E-2</v>
      </c>
      <c r="G51" s="8">
        <v>2.2813687999999999E-2</v>
      </c>
      <c r="H51" s="8">
        <v>8.6149769999999994E-3</v>
      </c>
      <c r="I51" s="8">
        <v>0</v>
      </c>
      <c r="J51" s="8">
        <v>3.3261803E-2</v>
      </c>
      <c r="K51" s="8">
        <v>2.1395349000000001E-2</v>
      </c>
      <c r="L51" s="8">
        <v>4.5212766000000001E-2</v>
      </c>
      <c r="M51" s="8">
        <v>2.4475523999999999E-2</v>
      </c>
      <c r="N51" s="8">
        <v>4.7128129999999997E-2</v>
      </c>
      <c r="O51" s="8">
        <v>0</v>
      </c>
      <c r="P51" s="8">
        <v>0</v>
      </c>
      <c r="Q51" s="8">
        <v>0</v>
      </c>
      <c r="R51" s="8">
        <f t="shared" si="1"/>
        <v>1.7235999750000001E-2</v>
      </c>
    </row>
    <row r="52" spans="1:18" x14ac:dyDescent="0.4">
      <c r="A52" s="3" t="s">
        <v>107</v>
      </c>
      <c r="B52" s="4">
        <v>3.9312039999999999E-2</v>
      </c>
      <c r="C52" s="4">
        <v>8.6402909999999999E-2</v>
      </c>
      <c r="D52" s="4">
        <v>3.9113429999999998E-2</v>
      </c>
      <c r="E52" s="4">
        <v>7.7856419999999996E-2</v>
      </c>
      <c r="F52" s="4">
        <v>0.13377926000000001</v>
      </c>
      <c r="G52" s="4">
        <v>5.9315589999999987E-2</v>
      </c>
      <c r="H52" s="4">
        <v>7.9522860000000001E-2</v>
      </c>
      <c r="I52" s="4">
        <v>4.9849850000000001E-2</v>
      </c>
      <c r="J52" s="4">
        <v>5.6866949999999993E-2</v>
      </c>
      <c r="K52" s="4">
        <v>8.1860470000000005E-2</v>
      </c>
      <c r="L52" s="4">
        <v>0</v>
      </c>
      <c r="M52" s="4">
        <v>4.4289040000000002E-2</v>
      </c>
      <c r="N52" s="4">
        <v>5.1546389999999997E-2</v>
      </c>
      <c r="O52" s="4">
        <v>0</v>
      </c>
      <c r="P52" s="4">
        <v>6.5200910000000001E-2</v>
      </c>
      <c r="Q52" s="4">
        <v>9.0646089999999999E-2</v>
      </c>
      <c r="R52" s="4">
        <f t="shared" si="1"/>
        <v>5.9722638124999984E-2</v>
      </c>
    </row>
    <row r="53" spans="1:18" x14ac:dyDescent="0.4">
      <c r="A53" s="7" t="s">
        <v>102</v>
      </c>
      <c r="B53" s="8">
        <v>2.047502E-2</v>
      </c>
      <c r="C53" s="8">
        <v>6.6393820000000006E-2</v>
      </c>
      <c r="D53" s="8">
        <v>8.4745760000000003E-2</v>
      </c>
      <c r="E53" s="8">
        <v>8.2912029999999998E-2</v>
      </c>
      <c r="F53" s="8">
        <v>4.7491640000000002E-2</v>
      </c>
      <c r="G53" s="8">
        <v>5.6273759999999992E-2</v>
      </c>
      <c r="H53" s="8">
        <v>6.4280980000000001E-2</v>
      </c>
      <c r="I53" s="8">
        <v>2.1021020000000001E-2</v>
      </c>
      <c r="J53" s="8">
        <v>1.180258E-2</v>
      </c>
      <c r="K53" s="8">
        <v>1.9534880000000001E-2</v>
      </c>
      <c r="L53" s="8">
        <v>4.2553189999999998E-2</v>
      </c>
      <c r="M53" s="8">
        <v>9.3240089999999998E-2</v>
      </c>
      <c r="N53" s="8">
        <v>0.10603828999999999</v>
      </c>
      <c r="O53" s="8">
        <v>0</v>
      </c>
      <c r="P53" s="8">
        <v>6.2926460000000004E-2</v>
      </c>
      <c r="Q53" s="8">
        <v>7.0395369999999999E-2</v>
      </c>
      <c r="R53" s="8">
        <f t="shared" si="1"/>
        <v>5.3130305624999992E-2</v>
      </c>
    </row>
    <row r="54" spans="1:18" x14ac:dyDescent="0.4">
      <c r="A54" s="3" t="s">
        <v>135</v>
      </c>
      <c r="B54" s="4">
        <v>8.1900080000000004E-3</v>
      </c>
      <c r="C54" s="4">
        <v>7.7307870000000002E-3</v>
      </c>
      <c r="D54" s="4">
        <v>0</v>
      </c>
      <c r="E54" s="4">
        <v>0</v>
      </c>
      <c r="F54" s="4">
        <v>4.6822740000000002E-3</v>
      </c>
      <c r="G54" s="4">
        <v>7.6045629999999999E-3</v>
      </c>
      <c r="H54" s="4">
        <v>6.6269049999999998E-3</v>
      </c>
      <c r="I54" s="4">
        <v>9.6096099999999993E-3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2.1986353E-2</v>
      </c>
      <c r="Q54" s="4">
        <v>0</v>
      </c>
      <c r="R54" s="4">
        <f t="shared" si="1"/>
        <v>4.1519062500000002E-3</v>
      </c>
    </row>
    <row r="55" spans="1:18" x14ac:dyDescent="0.4">
      <c r="A55" s="7" t="s">
        <v>118</v>
      </c>
      <c r="B55" s="8">
        <v>0</v>
      </c>
      <c r="C55" s="8">
        <v>1.0004548E-2</v>
      </c>
      <c r="D55" s="8">
        <v>0</v>
      </c>
      <c r="E55" s="8">
        <v>1.6177957999999999E-2</v>
      </c>
      <c r="F55" s="8">
        <v>1.0033445E-2</v>
      </c>
      <c r="G55" s="8">
        <v>3.4980988999999997E-2</v>
      </c>
      <c r="H55" s="8">
        <v>1.8555334999999999E-2</v>
      </c>
      <c r="I55" s="8">
        <v>1.6816817000000001E-2</v>
      </c>
      <c r="J55" s="8">
        <v>0</v>
      </c>
      <c r="K55" s="8">
        <v>0</v>
      </c>
      <c r="L55" s="8">
        <v>6.1170213000000008E-2</v>
      </c>
      <c r="M55" s="8">
        <v>9.3240092999999996E-2</v>
      </c>
      <c r="N55" s="8">
        <v>1.1782032E-2</v>
      </c>
      <c r="O55" s="8">
        <v>0</v>
      </c>
      <c r="P55" s="8">
        <v>0</v>
      </c>
      <c r="Q55" s="8">
        <v>2.6036644000000001E-2</v>
      </c>
      <c r="R55" s="8">
        <f t="shared" si="1"/>
        <v>1.8674879625000002E-2</v>
      </c>
    </row>
    <row r="56" spans="1:18" x14ac:dyDescent="0.4">
      <c r="A56" s="3" t="s">
        <v>90</v>
      </c>
      <c r="B56" s="4">
        <v>0</v>
      </c>
      <c r="C56" s="4">
        <v>2.273761E-3</v>
      </c>
      <c r="D56" s="4">
        <v>1.955671E-3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8.1585080000000001E-3</v>
      </c>
      <c r="N56" s="4">
        <v>0</v>
      </c>
      <c r="O56" s="4">
        <v>0</v>
      </c>
      <c r="P56" s="4">
        <v>2.8809703999999998E-2</v>
      </c>
      <c r="Q56" s="4">
        <v>1.6393443000000001E-2</v>
      </c>
      <c r="R56" s="4">
        <f t="shared" si="1"/>
        <v>3.5994429374999999E-3</v>
      </c>
    </row>
    <row r="57" spans="1:18" x14ac:dyDescent="0.4">
      <c r="A57" s="7" t="s">
        <v>128</v>
      </c>
      <c r="B57" s="8">
        <v>0</v>
      </c>
      <c r="C57" s="8">
        <v>7.7307870000000002E-3</v>
      </c>
      <c r="D57" s="8">
        <v>0</v>
      </c>
      <c r="E57" s="8">
        <v>0</v>
      </c>
      <c r="F57" s="8">
        <v>0</v>
      </c>
      <c r="G57" s="8">
        <v>2.2813690000000001E-3</v>
      </c>
      <c r="H57" s="8">
        <v>0</v>
      </c>
      <c r="I57" s="8">
        <v>1.8018019999999999E-3</v>
      </c>
      <c r="J57" s="8">
        <v>0</v>
      </c>
      <c r="K57" s="8">
        <v>9.3023259999999997E-3</v>
      </c>
      <c r="L57" s="8">
        <v>0</v>
      </c>
      <c r="M57" s="8">
        <v>0</v>
      </c>
      <c r="N57" s="8">
        <v>0</v>
      </c>
      <c r="O57" s="8">
        <v>0</v>
      </c>
      <c r="P57" s="8">
        <v>1.2130402E-2</v>
      </c>
      <c r="Q57" s="8">
        <v>0</v>
      </c>
      <c r="R57" s="8">
        <f t="shared" si="1"/>
        <v>2.0779178749999998E-3</v>
      </c>
    </row>
    <row r="58" spans="1:18" x14ac:dyDescent="0.4">
      <c r="A58" s="3" t="s">
        <v>119</v>
      </c>
      <c r="B58" s="4">
        <v>8.026208E-2</v>
      </c>
      <c r="C58" s="4">
        <v>1.1823556000000001E-2</v>
      </c>
      <c r="D58" s="4">
        <v>7.1707949999999998E-3</v>
      </c>
      <c r="E58" s="4">
        <v>2.0222450000000002E-3</v>
      </c>
      <c r="F58" s="4">
        <v>4.3478260999999997E-2</v>
      </c>
      <c r="G58" s="4">
        <v>4.0304183E-2</v>
      </c>
      <c r="H58" s="4">
        <v>1.988072E-3</v>
      </c>
      <c r="I58" s="4">
        <v>8.7687688E-2</v>
      </c>
      <c r="J58" s="4">
        <v>0.136266094</v>
      </c>
      <c r="K58" s="4">
        <v>0.10046511599999999</v>
      </c>
      <c r="L58" s="4">
        <v>0.11702127700000001</v>
      </c>
      <c r="M58" s="4">
        <v>5.0116550000000003E-2</v>
      </c>
      <c r="N58" s="4">
        <v>0</v>
      </c>
      <c r="O58" s="4">
        <v>0</v>
      </c>
      <c r="P58" s="4">
        <v>4.5489006999999998E-2</v>
      </c>
      <c r="Q58" s="4">
        <v>6.6538090999999994E-2</v>
      </c>
      <c r="R58" s="4">
        <f t="shared" si="1"/>
        <v>4.9414563437500003E-2</v>
      </c>
    </row>
    <row r="59" spans="1:18" x14ac:dyDescent="0.4">
      <c r="A59" s="7" t="s">
        <v>112</v>
      </c>
      <c r="B59" s="8">
        <v>3.7674038E-2</v>
      </c>
      <c r="C59" s="8">
        <v>4.547522E-3</v>
      </c>
      <c r="D59" s="8">
        <v>0</v>
      </c>
      <c r="E59" s="8">
        <v>3.1344793000000003E-2</v>
      </c>
      <c r="F59" s="8">
        <v>4.0133779999999997E-3</v>
      </c>
      <c r="G59" s="8">
        <v>1.2927757E-2</v>
      </c>
      <c r="H59" s="8">
        <v>1.1928429000000001E-2</v>
      </c>
      <c r="I59" s="8">
        <v>1.1411411E-2</v>
      </c>
      <c r="J59" s="8">
        <v>0</v>
      </c>
      <c r="K59" s="8">
        <v>0</v>
      </c>
      <c r="L59" s="8">
        <v>0.10372340400000001</v>
      </c>
      <c r="M59" s="8">
        <v>0</v>
      </c>
      <c r="N59" s="8">
        <v>0</v>
      </c>
      <c r="O59" s="8">
        <v>0</v>
      </c>
      <c r="P59" s="8">
        <v>2.1228203000000001E-2</v>
      </c>
      <c r="Q59" s="8">
        <v>0</v>
      </c>
      <c r="R59" s="8">
        <f t="shared" si="1"/>
        <v>1.4924933437499999E-2</v>
      </c>
    </row>
    <row r="60" spans="1:18" x14ac:dyDescent="0.4">
      <c r="A60" s="3" t="s">
        <v>143</v>
      </c>
      <c r="B60" s="4">
        <v>0</v>
      </c>
      <c r="C60" s="4">
        <v>0</v>
      </c>
      <c r="D60" s="4">
        <v>2.6075619999999999E-3</v>
      </c>
      <c r="E60" s="4">
        <v>1.8200201999999999E-2</v>
      </c>
      <c r="F60" s="4">
        <v>1.0033445E-2</v>
      </c>
      <c r="G60" s="4">
        <v>0</v>
      </c>
      <c r="H60" s="4">
        <v>6.6269049999999998E-3</v>
      </c>
      <c r="I60" s="4">
        <v>2.4024020000000001E-3</v>
      </c>
      <c r="J60" s="4">
        <v>0</v>
      </c>
      <c r="K60" s="4">
        <v>0</v>
      </c>
      <c r="L60" s="4">
        <v>0</v>
      </c>
      <c r="M60" s="4">
        <v>8.1585080000000001E-3</v>
      </c>
      <c r="N60" s="4">
        <v>1.4727541E-2</v>
      </c>
      <c r="O60" s="4">
        <v>0</v>
      </c>
      <c r="P60" s="4">
        <v>0</v>
      </c>
      <c r="Q60" s="4">
        <v>0</v>
      </c>
      <c r="R60" s="4">
        <f t="shared" si="1"/>
        <v>3.9222853125E-3</v>
      </c>
    </row>
    <row r="61" spans="1:18" x14ac:dyDescent="0.4">
      <c r="A61" s="7" t="s">
        <v>101</v>
      </c>
      <c r="B61" s="8">
        <v>0.33988533999999998</v>
      </c>
      <c r="C61" s="8">
        <v>3.9108690000000002E-2</v>
      </c>
      <c r="D61" s="8">
        <v>2.477184E-2</v>
      </c>
      <c r="E61" s="8">
        <v>6.1678459999999997E-2</v>
      </c>
      <c r="F61" s="8">
        <v>5.7525079999999992E-2</v>
      </c>
      <c r="G61" s="8">
        <v>9.8098859999999996E-2</v>
      </c>
      <c r="H61" s="8">
        <v>8.2836320000000005E-2</v>
      </c>
      <c r="I61" s="8">
        <v>0.13873874</v>
      </c>
      <c r="J61" s="8">
        <v>0.29828325999999999</v>
      </c>
      <c r="K61" s="8">
        <v>0.23069766999999999</v>
      </c>
      <c r="L61" s="8">
        <v>0.16489361999999999</v>
      </c>
      <c r="M61" s="8">
        <v>6.0606060000000003E-2</v>
      </c>
      <c r="N61" s="8">
        <v>0</v>
      </c>
      <c r="O61" s="8">
        <v>0</v>
      </c>
      <c r="P61" s="8">
        <v>6.4442760000000002E-2</v>
      </c>
      <c r="Q61" s="8">
        <v>4.7251689999999999E-2</v>
      </c>
      <c r="R61" s="8">
        <f t="shared" si="1"/>
        <v>0.10680114937499999</v>
      </c>
    </row>
    <row r="62" spans="1:18" x14ac:dyDescent="0.4">
      <c r="A62" s="3" t="s">
        <v>126</v>
      </c>
      <c r="B62" s="4">
        <v>0</v>
      </c>
      <c r="C62" s="4">
        <v>1.5006821E-2</v>
      </c>
      <c r="D62" s="4">
        <v>3.9113430000000003E-3</v>
      </c>
      <c r="E62" s="4">
        <v>1.0111223000000001E-2</v>
      </c>
      <c r="F62" s="4">
        <v>0</v>
      </c>
      <c r="G62" s="4">
        <v>1.3688212999999999E-2</v>
      </c>
      <c r="H62" s="4">
        <v>1.7229953999999999E-2</v>
      </c>
      <c r="I62" s="4">
        <v>0</v>
      </c>
      <c r="J62" s="4">
        <v>0</v>
      </c>
      <c r="K62" s="4">
        <v>5.5813950000000003E-3</v>
      </c>
      <c r="L62" s="4">
        <v>0</v>
      </c>
      <c r="M62" s="4">
        <v>1.8648018999999998E-2</v>
      </c>
      <c r="N62" s="4">
        <v>4.8600883999999997E-2</v>
      </c>
      <c r="O62" s="4">
        <v>0</v>
      </c>
      <c r="P62" s="4">
        <v>9.0978010000000008E-3</v>
      </c>
      <c r="Q62" s="4">
        <v>4.821601E-3</v>
      </c>
      <c r="R62" s="4">
        <f t="shared" si="1"/>
        <v>9.1685783749999999E-3</v>
      </c>
    </row>
  </sheetData>
  <autoFilter ref="A3:R62" xr:uid="{00000000-0009-0000-0000-00000F000000}"/>
  <mergeCells count="2">
    <mergeCell ref="A2:R2"/>
    <mergeCell ref="A1:R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요약</vt:lpstr>
      <vt:lpstr>문_비교</vt:lpstr>
      <vt:lpstr>강_비교</vt:lpstr>
      <vt:lpstr>목_비교</vt:lpstr>
      <vt:lpstr>과_비교</vt:lpstr>
      <vt:lpstr>다양성</vt:lpstr>
      <vt:lpstr>PCoA</vt:lpstr>
      <vt:lpstr>분석_안내</vt:lpstr>
      <vt:lpstr>도로변_문</vt:lpstr>
      <vt:lpstr>산림_문</vt:lpstr>
      <vt:lpstr>도로변_강</vt:lpstr>
      <vt:lpstr>산림_강</vt:lpstr>
      <vt:lpstr>도로변_목</vt:lpstr>
      <vt:lpstr>산림_목</vt:lpstr>
      <vt:lpstr>도로변_과</vt:lpstr>
      <vt:lpstr>산림_과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인영 황</cp:lastModifiedBy>
  <dcterms:created xsi:type="dcterms:W3CDTF">2026-08-29T08:23:41Z</dcterms:created>
  <dcterms:modified xsi:type="dcterms:W3CDTF">2026-08-29T08:23:50Z</dcterms:modified>
</cp:coreProperties>
</file>